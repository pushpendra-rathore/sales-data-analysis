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-data" sheetId="1" r:id="rId5"/>
    <sheet state="visible" name="KPI Dashboard" sheetId="2" r:id="rId6"/>
    <sheet state="visible" name="Sales Dashboard" sheetId="3" r:id="rId7"/>
  </sheets>
  <definedNames>
    <definedName hidden="1" localSheetId="0" name="_xlnm._FilterDatabase">'sales-data'!$A$1:$N$31</definedName>
  </definedNames>
  <calcPr/>
</workbook>
</file>

<file path=xl/sharedStrings.xml><?xml version="1.0" encoding="utf-8"?>
<sst xmlns="http://schemas.openxmlformats.org/spreadsheetml/2006/main" count="354" uniqueCount="168">
  <si>
    <t>ID</t>
  </si>
  <si>
    <t>Order Order Date</t>
  </si>
  <si>
    <t>Customer Name</t>
  </si>
  <si>
    <t>Salesperson</t>
  </si>
  <si>
    <t>Region</t>
  </si>
  <si>
    <t>State</t>
  </si>
  <si>
    <t>Category</t>
  </si>
  <si>
    <t>Product</t>
  </si>
  <si>
    <t>Quantity</t>
  </si>
  <si>
    <t>Unit Price</t>
  </si>
  <si>
    <t>Discount %</t>
  </si>
  <si>
    <t>Cost Price</t>
  </si>
  <si>
    <t>Payment Mode</t>
  </si>
  <si>
    <t>Customer Type</t>
  </si>
  <si>
    <t>Gross sales</t>
  </si>
  <si>
    <t>Discount Amount</t>
  </si>
  <si>
    <t>Net sales</t>
  </si>
  <si>
    <t>Total cost</t>
  </si>
  <si>
    <t>Profit</t>
  </si>
  <si>
    <t>Profit margin%</t>
  </si>
  <si>
    <t>Month</t>
  </si>
  <si>
    <t>Year</t>
  </si>
  <si>
    <t>Profit status</t>
  </si>
  <si>
    <t>ORD001</t>
  </si>
  <si>
    <t>Rahul Sharma</t>
  </si>
  <si>
    <t>Amit</t>
  </si>
  <si>
    <t>North</t>
  </si>
  <si>
    <t>Rajasthan</t>
  </si>
  <si>
    <t>Electronics</t>
  </si>
  <si>
    <t>Wireless Mouse</t>
  </si>
  <si>
    <t>UPI</t>
  </si>
  <si>
    <t>New</t>
  </si>
  <si>
    <t>ORD002</t>
  </si>
  <si>
    <t>Priya Singh</t>
  </si>
  <si>
    <t>Neha</t>
  </si>
  <si>
    <t>West</t>
  </si>
  <si>
    <t>Gujarat</t>
  </si>
  <si>
    <t>Furniture</t>
  </si>
  <si>
    <t>Office Chair</t>
  </si>
  <si>
    <t>Card</t>
  </si>
  <si>
    <t>Existing</t>
  </si>
  <si>
    <t>ORD003</t>
  </si>
  <si>
    <t>Mohit Jain</t>
  </si>
  <si>
    <t>Raj</t>
  </si>
  <si>
    <t>Delhi</t>
  </si>
  <si>
    <t>Keyboard</t>
  </si>
  <si>
    <t>Cash</t>
  </si>
  <si>
    <t>ORD004</t>
  </si>
  <si>
    <t>Sneha Verma</t>
  </si>
  <si>
    <t>South</t>
  </si>
  <si>
    <t>Karnataka</t>
  </si>
  <si>
    <t>Clothing</t>
  </si>
  <si>
    <t>Formal Shirt</t>
  </si>
  <si>
    <t>ORD005</t>
  </si>
  <si>
    <t>Arjun Mehta</t>
  </si>
  <si>
    <t>Pooja</t>
  </si>
  <si>
    <t>Maharashtra</t>
  </si>
  <si>
    <t>Headphones</t>
  </si>
  <si>
    <t>ORD006</t>
  </si>
  <si>
    <t>Kavita Joshi</t>
  </si>
  <si>
    <t>East</t>
  </si>
  <si>
    <t>West Bengal</t>
  </si>
  <si>
    <t>Study Table</t>
  </si>
  <si>
    <t>Bank</t>
  </si>
  <si>
    <t>ORD007</t>
  </si>
  <si>
    <t>Rohit Gupta</t>
  </si>
  <si>
    <t>Haryana</t>
  </si>
  <si>
    <t>Jeans</t>
  </si>
  <si>
    <t>ORD008</t>
  </si>
  <si>
    <t>Anjali Agarwal</t>
  </si>
  <si>
    <t>Bluetooth Speaker</t>
  </si>
  <si>
    <t>ORD009</t>
  </si>
  <si>
    <t>Vivek Yadav</t>
  </si>
  <si>
    <t>Tamil Nadu</t>
  </si>
  <si>
    <t>Bookshelf</t>
  </si>
  <si>
    <t>ORD010</t>
  </si>
  <si>
    <t>Neha Kapoor</t>
  </si>
  <si>
    <t>Bihar</t>
  </si>
  <si>
    <t>Jacket</t>
  </si>
  <si>
    <t>ORD011</t>
  </si>
  <si>
    <t>Manish Saini</t>
  </si>
  <si>
    <t>Smart Watch</t>
  </si>
  <si>
    <t>ORD012</t>
  </si>
  <si>
    <t>Pankaj Gupta</t>
  </si>
  <si>
    <t>Sofa Chair</t>
  </si>
  <si>
    <t>ORD013</t>
  </si>
  <si>
    <t>Simran Kaur</t>
  </si>
  <si>
    <t>Kerala</t>
  </si>
  <si>
    <t>Saree</t>
  </si>
  <si>
    <t>ORD014</t>
  </si>
  <si>
    <t>Deepak Sharma</t>
  </si>
  <si>
    <t>Odisha</t>
  </si>
  <si>
    <t>Power Bank</t>
  </si>
  <si>
    <t>ORD015</t>
  </si>
  <si>
    <t>Riya Jain</t>
  </si>
  <si>
    <t>Office Desk</t>
  </si>
  <si>
    <t>ORD016</t>
  </si>
  <si>
    <t>Karan Singh</t>
  </si>
  <si>
    <t>Monitor</t>
  </si>
  <si>
    <t>ORD017</t>
  </si>
  <si>
    <t>Meena Joshi</t>
  </si>
  <si>
    <t>Trousers</t>
  </si>
  <si>
    <t>ORD018</t>
  </si>
  <si>
    <t>Suresh Kumar</t>
  </si>
  <si>
    <t>Assam</t>
  </si>
  <si>
    <t>Webcam</t>
  </si>
  <si>
    <t>ORD019</t>
  </si>
  <si>
    <t>Nisha Sharma</t>
  </si>
  <si>
    <t>Dining Chair</t>
  </si>
  <si>
    <t>ORD020</t>
  </si>
  <si>
    <t>Varun Mehta</t>
  </si>
  <si>
    <t>Tablet</t>
  </si>
  <si>
    <t>ORD021</t>
  </si>
  <si>
    <t>Aakash Jain</t>
  </si>
  <si>
    <t>Polo T-Shirt</t>
  </si>
  <si>
    <t>ORD022</t>
  </si>
  <si>
    <t>Divya Gupta</t>
  </si>
  <si>
    <t>Cabinet</t>
  </si>
  <si>
    <t>ORD023</t>
  </si>
  <si>
    <t>Gaurav Singh</t>
  </si>
  <si>
    <t>Laptop Bag</t>
  </si>
  <si>
    <t>ORD024</t>
  </si>
  <si>
    <t>Priti Verma</t>
  </si>
  <si>
    <t>Kurta</t>
  </si>
  <si>
    <t>ORD025</t>
  </si>
  <si>
    <t>Hemant Joshi</t>
  </si>
  <si>
    <t>SSD Drive</t>
  </si>
  <si>
    <t>ORD026</t>
  </si>
  <si>
    <t>Sonal Kapoor</t>
  </si>
  <si>
    <t>Recliner</t>
  </si>
  <si>
    <t>ORD027</t>
  </si>
  <si>
    <t>Ajay Sharma</t>
  </si>
  <si>
    <t>Blazer</t>
  </si>
  <si>
    <t>ORD028</t>
  </si>
  <si>
    <t>Komal Jain</t>
  </si>
  <si>
    <t>Smart TV</t>
  </si>
  <si>
    <t>ORD029</t>
  </si>
  <si>
    <t>Rakesh Gupta</t>
  </si>
  <si>
    <t>Coffee Table</t>
  </si>
  <si>
    <t>ORD030</t>
  </si>
  <si>
    <t>Isha Mehta</t>
  </si>
  <si>
    <t>Printer</t>
  </si>
  <si>
    <t>KPI</t>
  </si>
  <si>
    <t>Formula</t>
  </si>
  <si>
    <t>Total sales</t>
  </si>
  <si>
    <t>Total profit</t>
  </si>
  <si>
    <t>Total orders</t>
  </si>
  <si>
    <t>Units sold</t>
  </si>
  <si>
    <t>Average order value</t>
  </si>
  <si>
    <t>Total Discount</t>
  </si>
  <si>
    <t>Profit Margin</t>
  </si>
  <si>
    <t>Profitable Orders</t>
  </si>
  <si>
    <t>orders</t>
  </si>
  <si>
    <t>sales</t>
  </si>
  <si>
    <t>Orders</t>
  </si>
  <si>
    <t>Average sales</t>
  </si>
  <si>
    <t>Sales</t>
  </si>
  <si>
    <t>Jan</t>
  </si>
  <si>
    <t>Feb</t>
  </si>
  <si>
    <t>Mar</t>
  </si>
  <si>
    <t>Apr</t>
  </si>
  <si>
    <t>May</t>
  </si>
  <si>
    <t>SALES PERFORMANCE DASHBOARD</t>
  </si>
  <si>
    <t xml:space="preserve">TOTAL SALES  </t>
  </si>
  <si>
    <t>TOTAL PROFIT</t>
  </si>
  <si>
    <t>ORDERS</t>
  </si>
  <si>
    <t>UNITS SOLD</t>
  </si>
  <si>
    <t>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</si>
</sst>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color theme="1"/>
      <name val="Liberation Serif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Liberation Serif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sz val="11.0"/>
      <color rgb="FF000000"/>
      <name val="Calibri"/>
    </font>
    <font>
      <b/>
      <sz val="22.0"/>
      <color rgb="FFFF0000"/>
      <name val="Arial"/>
      <scheme val="minor"/>
    </font>
    <font/>
    <font>
      <sz val="9.0"/>
      <color rgb="FF000000"/>
      <name val="Arial"/>
    </font>
    <font>
      <b/>
      <sz val="13.0"/>
      <color theme="1"/>
      <name val="Verdana"/>
    </font>
    <font>
      <sz val="13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E69138"/>
        <bgColor rgb="FFE69138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</fills>
  <borders count="10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10" xfId="0" applyAlignment="1" applyFont="1" applyNumberFormat="1">
      <alignment horizontal="right" readingOrder="0"/>
    </xf>
    <xf borderId="0" fillId="0" fontId="3" numFmtId="0" xfId="0" applyFont="1"/>
    <xf borderId="0" fillId="0" fontId="3" numFmtId="10" xfId="0" applyFont="1" applyNumberFormat="1"/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3" fontId="2" numFmtId="10" xfId="0" applyFill="1" applyFont="1" applyNumberFormat="1"/>
    <xf borderId="0" fillId="4" fontId="2" numFmtId="0" xfId="0" applyAlignment="1" applyFill="1" applyFont="1">
      <alignment horizontal="center"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  <xf borderId="0" fillId="6" fontId="2" numFmtId="0" xfId="0" applyAlignment="1" applyFill="1" applyFont="1">
      <alignment horizontal="center" readingOrder="0"/>
    </xf>
    <xf borderId="0" fillId="7" fontId="3" numFmtId="0" xfId="0" applyAlignment="1" applyFill="1" applyFont="1">
      <alignment readingOrder="0"/>
    </xf>
    <xf borderId="0" fillId="7" fontId="3" numFmtId="0" xfId="0" applyFill="1" applyFont="1"/>
    <xf borderId="0" fillId="7" fontId="3" numFmtId="4" xfId="0" applyFill="1" applyFont="1" applyNumberFormat="1"/>
    <xf borderId="0" fillId="8" fontId="2" numFmtId="0" xfId="0" applyAlignment="1" applyFill="1" applyFont="1">
      <alignment horizontal="center" readingOrder="0"/>
    </xf>
    <xf borderId="0" fillId="9" fontId="3" numFmtId="0" xfId="0" applyAlignment="1" applyFill="1" applyFont="1">
      <alignment readingOrder="0"/>
    </xf>
    <xf borderId="0" fillId="9" fontId="3" numFmtId="0" xfId="0" applyFill="1" applyFont="1"/>
    <xf borderId="0" fillId="0" fontId="5" numFmtId="0" xfId="0" applyAlignment="1" applyFont="1">
      <alignment horizontal="center" readingOrder="0" shrinkToFit="0" wrapText="1"/>
    </xf>
    <xf borderId="0" fillId="2" fontId="5" numFmtId="0" xfId="0" applyAlignment="1" applyFill="1" applyFont="1">
      <alignment horizontal="center" readingOrder="0" shrinkToFit="0" wrapText="1"/>
    </xf>
    <xf borderId="0" fillId="3" fontId="6" numFmtId="0" xfId="0" applyAlignment="1" applyFill="1" applyFont="1">
      <alignment horizontal="left" readingOrder="0" shrinkToFit="0" wrapText="1"/>
    </xf>
    <xf borderId="0" fillId="3" fontId="3" numFmtId="0" xfId="0" applyFill="1" applyFont="1"/>
    <xf borderId="0" fillId="10" fontId="7" numFmtId="0" xfId="0" applyAlignment="1" applyFill="1" applyFont="1">
      <alignment horizontal="center" readingOrder="0" shrinkToFit="0" wrapText="1"/>
    </xf>
    <xf borderId="0" fillId="6" fontId="6" numFmtId="0" xfId="0" applyAlignment="1" applyFill="1" applyFont="1">
      <alignment horizontal="left" readingOrder="0" shrinkToFit="0" wrapText="1"/>
    </xf>
    <xf borderId="0" fillId="6" fontId="3" numFmtId="0" xfId="0" applyFill="1" applyFont="1"/>
    <xf borderId="0" fillId="0" fontId="8" numFmtId="0" xfId="0" applyAlignment="1" applyFont="1">
      <alignment shrinkToFit="0" vertical="bottom" wrapText="0"/>
    </xf>
    <xf borderId="1" fillId="11" fontId="9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4" fillId="0" fontId="3" numFmtId="0" xfId="0" applyBorder="1" applyFont="1"/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4" fillId="12" fontId="11" numFmtId="0" xfId="0" applyAlignment="1" applyBorder="1" applyFill="1" applyFont="1">
      <alignment horizontal="left" readingOrder="0"/>
    </xf>
    <xf borderId="1" fillId="10" fontId="12" numFmtId="0" xfId="0" applyAlignment="1" applyBorder="1" applyFill="1" applyFont="1">
      <alignment horizontal="center" readingOrder="0"/>
    </xf>
    <xf borderId="1" fillId="13" fontId="12" numFmtId="0" xfId="0" applyAlignment="1" applyBorder="1" applyFill="1" applyFont="1">
      <alignment horizontal="center" readingOrder="0"/>
    </xf>
    <xf borderId="1" fillId="14" fontId="12" numFmtId="0" xfId="0" applyAlignment="1" applyBorder="1" applyFill="1" applyFont="1">
      <alignment horizontal="center" readingOrder="0"/>
    </xf>
    <xf borderId="1" fillId="15" fontId="12" numFmtId="0" xfId="0" applyAlignment="1" applyBorder="1" applyFill="1" applyFont="1">
      <alignment horizontal="center" readingOrder="0"/>
    </xf>
    <xf borderId="1" fillId="16" fontId="12" numFmtId="0" xfId="0" applyAlignment="1" applyBorder="1" applyFill="1" applyFont="1">
      <alignment horizontal="center" readingOrder="0"/>
    </xf>
    <xf borderId="8" fillId="10" fontId="13" numFmtId="0" xfId="0" applyAlignment="1" applyBorder="1" applyFill="1" applyFont="1">
      <alignment horizontal="center" readingOrder="0"/>
    </xf>
    <xf borderId="9" fillId="0" fontId="10" numFmtId="0" xfId="0" applyBorder="1" applyFont="1"/>
    <xf borderId="8" fillId="13" fontId="13" numFmtId="0" xfId="0" applyAlignment="1" applyBorder="1" applyFill="1" applyFont="1">
      <alignment horizontal="center"/>
    </xf>
    <xf borderId="8" fillId="14" fontId="13" numFmtId="0" xfId="0" applyAlignment="1" applyBorder="1" applyFill="1" applyFont="1">
      <alignment horizontal="center"/>
    </xf>
    <xf borderId="8" fillId="15" fontId="13" numFmtId="0" xfId="0" applyAlignment="1" applyBorder="1" applyFill="1" applyFont="1">
      <alignment horizontal="center"/>
    </xf>
    <xf borderId="8" fillId="16" fontId="13" numFmtId="4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Formula vs KPI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'KPI Dashboard'!$B$1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'KPI Dashboard'!$A$2:$A$9</c:f>
            </c:strRef>
          </c:cat>
          <c:val>
            <c:numRef>
              <c:f>'KPI Dashboard'!$B$2:$B$9</c:f>
              <c:numCache/>
            </c:numRef>
          </c:val>
        </c:ser>
        <c:axId val="187859853"/>
        <c:axId val="213491804"/>
      </c:barChart>
      <c:catAx>
        <c:axId val="187859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91804"/>
      </c:catAx>
      <c:valAx>
        <c:axId val="213491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Formula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59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orders, sales and Profit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'KPI Dashboard'!$D$14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'KPI Dashboard'!$A$15:$A$18</c:f>
            </c:strRef>
          </c:cat>
          <c:val>
            <c:numRef>
              <c:f>'KPI Dashboard'!$D$15:$D$18</c:f>
              <c:numCache/>
            </c:numRef>
          </c:val>
        </c:ser>
        <c:axId val="139112061"/>
        <c:axId val="959652744"/>
      </c:barChart>
      <c:catAx>
        <c:axId val="139112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652744"/>
      </c:catAx>
      <c:valAx>
        <c:axId val="959652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12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'KPI Dashboard'!$B$27:$B$28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'KPI Dashboard'!$A$29:$A$31</c:f>
            </c:strRef>
          </c:cat>
          <c:val>
            <c:numRef>
              <c:f>'KPI Dashboard'!$B$29:$B$31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Orders, Sales and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'KPI Dashboard'!$B$38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'KPI Dashboard'!$A$39:$A$42</c:f>
            </c:strRef>
          </c:cat>
          <c:val>
            <c:numRef>
              <c:f>'KPI Dashboard'!$B$39:$B$42</c:f>
              <c:numCache/>
            </c:numRef>
          </c:val>
        </c:ser>
        <c:ser>
          <c:idx val="1"/>
          <c:order val="1"/>
          <c:tx>
            <c:strRef>
              <c:f>'KPI Dashboard'!$C$38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'KPI Dashboard'!$A$39:$A$42</c:f>
            </c:strRef>
          </c:cat>
          <c:val>
            <c:numRef>
              <c:f>'KPI Dashboard'!$C$39:$C$42</c:f>
              <c:numCache/>
            </c:numRef>
          </c:val>
        </c:ser>
        <c:ser>
          <c:idx val="2"/>
          <c:order val="2"/>
          <c:tx>
            <c:strRef>
              <c:f>'KPI Dashboard'!$D$38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'KPI Dashboard'!$A$39:$A$42</c:f>
            </c:strRef>
          </c:cat>
          <c:val>
            <c:numRef>
              <c:f>'KPI Dashboard'!$D$39:$D$42</c:f>
              <c:numCache/>
            </c:numRef>
          </c:val>
        </c:ser>
        <c:axId val="595497835"/>
        <c:axId val="949829889"/>
      </c:barChart>
      <c:catAx>
        <c:axId val="5954978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829889"/>
      </c:catAx>
      <c:valAx>
        <c:axId val="9498298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4978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'KPI Dashboard'!$B$59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'KPI Dashboard'!$A$60:$A$64</c:f>
            </c:strRef>
          </c:cat>
          <c:val>
            <c:numRef>
              <c:f>'KPI Dashboard'!$B$60:$B$64</c:f>
              <c:numCache/>
            </c:numRef>
          </c:val>
          <c:smooth val="0"/>
        </c:ser>
        <c:ser>
          <c:idx val="1"/>
          <c:order val="1"/>
          <c:tx>
            <c:strRef>
              <c:f>'KPI Dashboard'!$C$59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'KPI Dashboard'!$A$60:$A$64</c:f>
            </c:strRef>
          </c:cat>
          <c:val>
            <c:numRef>
              <c:f>'KPI Dashboard'!$C$60:$C$64</c:f>
              <c:numCache/>
            </c:numRef>
          </c:val>
          <c:smooth val="0"/>
        </c:ser>
        <c:axId val="749821922"/>
        <c:axId val="356541125"/>
      </c:lineChart>
      <c:catAx>
        <c:axId val="749821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541125"/>
      </c:catAx>
      <c:valAx>
        <c:axId val="356541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821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 and Sales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'KPI Dashboard'!$B$51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'KPI Dashboard'!$A$52:$A$55</c:f>
            </c:strRef>
          </c:cat>
          <c:val>
            <c:numRef>
              <c:f>'KPI Dashboard'!$B$52:$B$55</c:f>
              <c:numCache/>
            </c:numRef>
          </c:val>
        </c:ser>
        <c:ser>
          <c:idx val="1"/>
          <c:order val="1"/>
          <c:tx>
            <c:strRef>
              <c:f>'KPI Dashboard'!$C$51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'KPI Dashboard'!$A$52:$A$55</c:f>
            </c:strRef>
          </c:cat>
          <c:val>
            <c:numRef>
              <c:f>'KPI Dashboard'!$C$52:$C$55</c:f>
              <c:numCache/>
            </c:numRef>
          </c:val>
        </c:ser>
        <c:overlap val="100"/>
        <c:axId val="727698439"/>
        <c:axId val="1064177362"/>
      </c:barChart>
      <c:catAx>
        <c:axId val="7276984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177362"/>
      </c:catAx>
      <c:valAx>
        <c:axId val="1064177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6984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and Existing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'KPI Dashboard'!$D$45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'KPI Dashboard'!$A$46:$A$47</c:f>
            </c:strRef>
          </c:cat>
          <c:val>
            <c:numRef>
              <c:f>'KPI Dashboard'!$D$46:$D$47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'KPI Dashboard'!$B$59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'KPI Dashboard'!$A$60:$A$64</c:f>
            </c:strRef>
          </c:cat>
          <c:val>
            <c:numRef>
              <c:f>'KPI Dashboard'!$B$60:$B$64</c:f>
              <c:numCache/>
            </c:numRef>
          </c:val>
          <c:smooth val="0"/>
        </c:ser>
        <c:ser>
          <c:idx val="1"/>
          <c:order val="1"/>
          <c:tx>
            <c:strRef>
              <c:f>'KPI Dashboard'!$C$59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'KPI Dashboard'!$A$60:$A$64</c:f>
            </c:strRef>
          </c:cat>
          <c:val>
            <c:numRef>
              <c:f>'KPI Dashboard'!$C$60:$C$64</c:f>
              <c:numCache/>
            </c:numRef>
          </c:val>
          <c:smooth val="0"/>
        </c:ser>
        <c:axId val="764047051"/>
        <c:axId val="2093325319"/>
      </c:lineChart>
      <c:catAx>
        <c:axId val="764047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325319"/>
      </c:catAx>
      <c:valAx>
        <c:axId val="2093325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047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Chart3.png"/><Relationship Id="rId3" Type="http://schemas.openxmlformats.org/officeDocument/2006/relationships/image" Target="../media/Chart10.png"/><Relationship Id="rId4" Type="http://schemas.openxmlformats.org/officeDocument/2006/relationships/image" Target="../media/Chart11.png"/><Relationship Id="rId5" Type="http://schemas.openxmlformats.org/officeDocument/2006/relationships/image" Target="../media/Chart12.png"/><Relationship Id="rId6" Type="http://schemas.openxmlformats.org/officeDocument/2006/relationships/image" Target="../media/Chart13.png"/><Relationship Id="rId7" Type="http://schemas.openxmlformats.org/officeDocument/2006/relationships/image" Target="../media/Chart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</xdr:row>
      <xdr:rowOff>0</xdr:rowOff>
    </xdr:from>
    <xdr:ext cx="6124575" cy="2305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152400</xdr:colOff>
      <xdr:row>12</xdr:row>
      <xdr:rowOff>133350</xdr:rowOff>
    </xdr:from>
    <xdr:ext cx="4419600" cy="2686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352425</xdr:colOff>
      <xdr:row>26</xdr:row>
      <xdr:rowOff>142875</xdr:rowOff>
    </xdr:from>
    <xdr:ext cx="4191000" cy="2362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809625</xdr:colOff>
      <xdr:row>41</xdr:row>
      <xdr:rowOff>57150</xdr:rowOff>
    </xdr:from>
    <xdr:ext cx="5715000" cy="2514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142875</xdr:rowOff>
    </xdr:from>
    <xdr:ext cx="5715000" cy="25146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9525</xdr:colOff>
      <xdr:row>56</xdr:row>
      <xdr:rowOff>47625</xdr:rowOff>
    </xdr:from>
    <xdr:ext cx="5715000" cy="22288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9525</xdr:colOff>
      <xdr:row>63</xdr:row>
      <xdr:rowOff>38100</xdr:rowOff>
    </xdr:from>
    <xdr:ext cx="38862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7</xdr:row>
      <xdr:rowOff>9525</xdr:rowOff>
    </xdr:from>
    <xdr:ext cx="9486900" cy="2943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85725</xdr:colOff>
      <xdr:row>23</xdr:row>
      <xdr:rowOff>133350</xdr:rowOff>
    </xdr:from>
    <xdr:ext cx="4419600" cy="2686050"/>
    <xdr:pic>
      <xdr:nvPicPr>
        <xdr:cNvPr id="119094660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23</xdr:row>
      <xdr:rowOff>133350</xdr:rowOff>
    </xdr:from>
    <xdr:ext cx="4562475" cy="2686050"/>
    <xdr:pic>
      <xdr:nvPicPr>
        <xdr:cNvPr id="2113271206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38</xdr:row>
      <xdr:rowOff>57150</xdr:rowOff>
    </xdr:from>
    <xdr:ext cx="4419600" cy="2514600"/>
    <xdr:pic>
      <xdr:nvPicPr>
        <xdr:cNvPr id="1412187008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38</xdr:row>
      <xdr:rowOff>57150</xdr:rowOff>
    </xdr:from>
    <xdr:ext cx="4133850" cy="2514600"/>
    <xdr:pic>
      <xdr:nvPicPr>
        <xdr:cNvPr id="1054772081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52</xdr:row>
      <xdr:rowOff>38100</xdr:rowOff>
    </xdr:from>
    <xdr:ext cx="4419600" cy="2686050"/>
    <xdr:pic>
      <xdr:nvPicPr>
        <xdr:cNvPr id="199029110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52</xdr:row>
      <xdr:rowOff>38100</xdr:rowOff>
    </xdr:from>
    <xdr:ext cx="4419600" cy="2686050"/>
    <xdr:pic>
      <xdr:nvPicPr>
        <xdr:cNvPr id="1438040927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>
      <c r="A2" s="4" t="s">
        <v>23</v>
      </c>
      <c r="B2" s="5">
        <v>46025.0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6">
        <v>3.0</v>
      </c>
      <c r="J2" s="6">
        <v>800.0</v>
      </c>
      <c r="K2" s="7">
        <v>0.05</v>
      </c>
      <c r="L2" s="6">
        <v>500.0</v>
      </c>
      <c r="M2" s="4" t="s">
        <v>30</v>
      </c>
      <c r="N2" s="4" t="s">
        <v>31</v>
      </c>
      <c r="O2" s="8">
        <f t="shared" ref="O2:O31" si="1">I2*J2</f>
        <v>2400</v>
      </c>
      <c r="P2" s="8">
        <f t="shared" ref="P2:P31" si="2">O2*K2</f>
        <v>120</v>
      </c>
      <c r="Q2" s="8">
        <f t="shared" ref="Q2:Q31" si="3">O2-P2</f>
        <v>2280</v>
      </c>
      <c r="R2" s="8">
        <f t="shared" ref="R2:R31" si="4">I2*L2</f>
        <v>1500</v>
      </c>
      <c r="S2" s="8">
        <f t="shared" ref="S2:S31" si="5">Q2-R2</f>
        <v>780</v>
      </c>
      <c r="T2" s="9">
        <f t="shared" ref="T2:T31" si="6">IF(Q2=0,0,S2/Q2)</f>
        <v>0.3421052632</v>
      </c>
      <c r="U2" s="8" t="str">
        <f t="shared" ref="U2:U31" si="7">TEXT(B2,"MMM")</f>
        <v>Jan</v>
      </c>
      <c r="V2" s="8">
        <f t="shared" ref="V2:V31" si="8">YEAR(B2)</f>
        <v>2026</v>
      </c>
      <c r="W2" s="8" t="str">
        <f t="shared" ref="W2:W31" si="9">IF(S2&gt;0,"Profit","Loss")</f>
        <v>Profit</v>
      </c>
    </row>
    <row r="3">
      <c r="A3" s="4" t="s">
        <v>32</v>
      </c>
      <c r="B3" s="5">
        <v>46027.0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6">
        <v>2.0</v>
      </c>
      <c r="J3" s="6">
        <v>6500.0</v>
      </c>
      <c r="K3" s="7">
        <v>0.1</v>
      </c>
      <c r="L3" s="6">
        <v>4300.0</v>
      </c>
      <c r="M3" s="4" t="s">
        <v>39</v>
      </c>
      <c r="N3" s="4" t="s">
        <v>40</v>
      </c>
      <c r="O3" s="8">
        <f t="shared" si="1"/>
        <v>13000</v>
      </c>
      <c r="P3" s="8">
        <f t="shared" si="2"/>
        <v>1300</v>
      </c>
      <c r="Q3" s="8">
        <f t="shared" si="3"/>
        <v>11700</v>
      </c>
      <c r="R3" s="8">
        <f t="shared" si="4"/>
        <v>8600</v>
      </c>
      <c r="S3" s="8">
        <f t="shared" si="5"/>
        <v>3100</v>
      </c>
      <c r="T3" s="9">
        <f t="shared" si="6"/>
        <v>0.264957265</v>
      </c>
      <c r="U3" s="8" t="str">
        <f t="shared" si="7"/>
        <v>Jan</v>
      </c>
      <c r="V3" s="8">
        <f t="shared" si="8"/>
        <v>2026</v>
      </c>
      <c r="W3" s="8" t="str">
        <f t="shared" si="9"/>
        <v>Profit</v>
      </c>
    </row>
    <row r="4">
      <c r="A4" s="4" t="s">
        <v>41</v>
      </c>
      <c r="B4" s="5">
        <v>46030.0</v>
      </c>
      <c r="C4" s="4" t="s">
        <v>42</v>
      </c>
      <c r="D4" s="4" t="s">
        <v>43</v>
      </c>
      <c r="E4" s="4" t="s">
        <v>26</v>
      </c>
      <c r="F4" s="4" t="s">
        <v>44</v>
      </c>
      <c r="G4" s="4" t="s">
        <v>28</v>
      </c>
      <c r="H4" s="4" t="s">
        <v>45</v>
      </c>
      <c r="I4" s="6">
        <v>5.0</v>
      </c>
      <c r="J4" s="6">
        <v>1200.0</v>
      </c>
      <c r="K4" s="7">
        <v>0.05</v>
      </c>
      <c r="L4" s="6">
        <v>700.0</v>
      </c>
      <c r="M4" s="4" t="s">
        <v>46</v>
      </c>
      <c r="N4" s="4" t="s">
        <v>31</v>
      </c>
      <c r="O4" s="8">
        <f t="shared" si="1"/>
        <v>6000</v>
      </c>
      <c r="P4" s="8">
        <f t="shared" si="2"/>
        <v>300</v>
      </c>
      <c r="Q4" s="8">
        <f t="shared" si="3"/>
        <v>5700</v>
      </c>
      <c r="R4" s="8">
        <f t="shared" si="4"/>
        <v>3500</v>
      </c>
      <c r="S4" s="8">
        <f t="shared" si="5"/>
        <v>2200</v>
      </c>
      <c r="T4" s="9">
        <f t="shared" si="6"/>
        <v>0.3859649123</v>
      </c>
      <c r="U4" s="8" t="str">
        <f t="shared" si="7"/>
        <v>Jan</v>
      </c>
      <c r="V4" s="8">
        <f t="shared" si="8"/>
        <v>2026</v>
      </c>
      <c r="W4" s="8" t="str">
        <f t="shared" si="9"/>
        <v>Profit</v>
      </c>
    </row>
    <row r="5">
      <c r="A5" s="4" t="s">
        <v>47</v>
      </c>
      <c r="B5" s="5">
        <v>46034.0</v>
      </c>
      <c r="C5" s="4" t="s">
        <v>48</v>
      </c>
      <c r="D5" s="4" t="s">
        <v>25</v>
      </c>
      <c r="E5" s="4" t="s">
        <v>49</v>
      </c>
      <c r="F5" s="4" t="s">
        <v>50</v>
      </c>
      <c r="G5" s="4" t="s">
        <v>51</v>
      </c>
      <c r="H5" s="4" t="s">
        <v>52</v>
      </c>
      <c r="I5" s="6">
        <v>4.0</v>
      </c>
      <c r="J5" s="6">
        <v>1800.0</v>
      </c>
      <c r="K5" s="7">
        <v>0.08</v>
      </c>
      <c r="L5" s="6">
        <v>1100.0</v>
      </c>
      <c r="M5" s="4" t="s">
        <v>30</v>
      </c>
      <c r="N5" s="4" t="s">
        <v>40</v>
      </c>
      <c r="O5" s="8">
        <f t="shared" si="1"/>
        <v>7200</v>
      </c>
      <c r="P5" s="8">
        <f t="shared" si="2"/>
        <v>576</v>
      </c>
      <c r="Q5" s="8">
        <f t="shared" si="3"/>
        <v>6624</v>
      </c>
      <c r="R5" s="8">
        <f t="shared" si="4"/>
        <v>4400</v>
      </c>
      <c r="S5" s="8">
        <f t="shared" si="5"/>
        <v>2224</v>
      </c>
      <c r="T5" s="9">
        <f t="shared" si="6"/>
        <v>0.3357487923</v>
      </c>
      <c r="U5" s="8" t="str">
        <f t="shared" si="7"/>
        <v>Jan</v>
      </c>
      <c r="V5" s="8">
        <f t="shared" si="8"/>
        <v>2026</v>
      </c>
      <c r="W5" s="8" t="str">
        <f t="shared" si="9"/>
        <v>Profit</v>
      </c>
    </row>
    <row r="6">
      <c r="A6" s="4" t="s">
        <v>53</v>
      </c>
      <c r="B6" s="5">
        <v>46037.0</v>
      </c>
      <c r="C6" s="4" t="s">
        <v>54</v>
      </c>
      <c r="D6" s="4" t="s">
        <v>55</v>
      </c>
      <c r="E6" s="4" t="s">
        <v>35</v>
      </c>
      <c r="F6" s="4" t="s">
        <v>56</v>
      </c>
      <c r="G6" s="4" t="s">
        <v>28</v>
      </c>
      <c r="H6" s="4" t="s">
        <v>57</v>
      </c>
      <c r="I6" s="6">
        <v>3.0</v>
      </c>
      <c r="J6" s="6">
        <v>2500.0</v>
      </c>
      <c r="K6" s="7">
        <v>0.12</v>
      </c>
      <c r="L6" s="6">
        <v>1600.0</v>
      </c>
      <c r="M6" s="4" t="s">
        <v>39</v>
      </c>
      <c r="N6" s="4" t="s">
        <v>31</v>
      </c>
      <c r="O6" s="8">
        <f t="shared" si="1"/>
        <v>7500</v>
      </c>
      <c r="P6" s="8">
        <f t="shared" si="2"/>
        <v>900</v>
      </c>
      <c r="Q6" s="8">
        <f t="shared" si="3"/>
        <v>6600</v>
      </c>
      <c r="R6" s="8">
        <f t="shared" si="4"/>
        <v>4800</v>
      </c>
      <c r="S6" s="8">
        <f t="shared" si="5"/>
        <v>1800</v>
      </c>
      <c r="T6" s="9">
        <f t="shared" si="6"/>
        <v>0.2727272727</v>
      </c>
      <c r="U6" s="8" t="str">
        <f t="shared" si="7"/>
        <v>Jan</v>
      </c>
      <c r="V6" s="8">
        <f t="shared" si="8"/>
        <v>2026</v>
      </c>
      <c r="W6" s="8" t="str">
        <f t="shared" si="9"/>
        <v>Profit</v>
      </c>
    </row>
    <row r="7">
      <c r="A7" s="4" t="s">
        <v>58</v>
      </c>
      <c r="B7" s="5">
        <v>46042.0</v>
      </c>
      <c r="C7" s="4" t="s">
        <v>59</v>
      </c>
      <c r="D7" s="4" t="s">
        <v>34</v>
      </c>
      <c r="E7" s="4" t="s">
        <v>60</v>
      </c>
      <c r="F7" s="4" t="s">
        <v>61</v>
      </c>
      <c r="G7" s="4" t="s">
        <v>37</v>
      </c>
      <c r="H7" s="4" t="s">
        <v>62</v>
      </c>
      <c r="I7" s="6">
        <v>2.0</v>
      </c>
      <c r="J7" s="6">
        <v>7500.0</v>
      </c>
      <c r="K7" s="7">
        <v>0.07</v>
      </c>
      <c r="L7" s="6">
        <v>5000.0</v>
      </c>
      <c r="M7" s="4" t="s">
        <v>63</v>
      </c>
      <c r="N7" s="4" t="s">
        <v>40</v>
      </c>
      <c r="O7" s="8">
        <f t="shared" si="1"/>
        <v>15000</v>
      </c>
      <c r="P7" s="8">
        <f t="shared" si="2"/>
        <v>1050</v>
      </c>
      <c r="Q7" s="8">
        <f t="shared" si="3"/>
        <v>13950</v>
      </c>
      <c r="R7" s="8">
        <f t="shared" si="4"/>
        <v>10000</v>
      </c>
      <c r="S7" s="8">
        <f t="shared" si="5"/>
        <v>3950</v>
      </c>
      <c r="T7" s="9">
        <f t="shared" si="6"/>
        <v>0.2831541219</v>
      </c>
      <c r="U7" s="8" t="str">
        <f t="shared" si="7"/>
        <v>Jan</v>
      </c>
      <c r="V7" s="8">
        <f t="shared" si="8"/>
        <v>2026</v>
      </c>
      <c r="W7" s="8" t="str">
        <f t="shared" si="9"/>
        <v>Profit</v>
      </c>
    </row>
    <row r="8">
      <c r="A8" s="4" t="s">
        <v>64</v>
      </c>
      <c r="B8" s="5">
        <v>46046.0</v>
      </c>
      <c r="C8" s="4" t="s">
        <v>65</v>
      </c>
      <c r="D8" s="4" t="s">
        <v>43</v>
      </c>
      <c r="E8" s="4" t="s">
        <v>26</v>
      </c>
      <c r="F8" s="4" t="s">
        <v>66</v>
      </c>
      <c r="G8" s="4" t="s">
        <v>51</v>
      </c>
      <c r="H8" s="4" t="s">
        <v>67</v>
      </c>
      <c r="I8" s="6">
        <v>6.0</v>
      </c>
      <c r="J8" s="6">
        <v>2200.0</v>
      </c>
      <c r="K8" s="7">
        <v>0.1</v>
      </c>
      <c r="L8" s="6">
        <v>1400.0</v>
      </c>
      <c r="M8" s="4" t="s">
        <v>30</v>
      </c>
      <c r="N8" s="4" t="s">
        <v>31</v>
      </c>
      <c r="O8" s="8">
        <f t="shared" si="1"/>
        <v>13200</v>
      </c>
      <c r="P8" s="8">
        <f t="shared" si="2"/>
        <v>1320</v>
      </c>
      <c r="Q8" s="8">
        <f t="shared" si="3"/>
        <v>11880</v>
      </c>
      <c r="R8" s="8">
        <f t="shared" si="4"/>
        <v>8400</v>
      </c>
      <c r="S8" s="8">
        <f t="shared" si="5"/>
        <v>3480</v>
      </c>
      <c r="T8" s="9">
        <f t="shared" si="6"/>
        <v>0.2929292929</v>
      </c>
      <c r="U8" s="8" t="str">
        <f t="shared" si="7"/>
        <v>Jan</v>
      </c>
      <c r="V8" s="8">
        <f t="shared" si="8"/>
        <v>2026</v>
      </c>
      <c r="W8" s="8" t="str">
        <f t="shared" si="9"/>
        <v>Profit</v>
      </c>
    </row>
    <row r="9">
      <c r="A9" s="4" t="s">
        <v>68</v>
      </c>
      <c r="B9" s="5">
        <v>46055.0</v>
      </c>
      <c r="C9" s="4" t="s">
        <v>69</v>
      </c>
      <c r="D9" s="4" t="s">
        <v>25</v>
      </c>
      <c r="E9" s="4" t="s">
        <v>35</v>
      </c>
      <c r="F9" s="4" t="s">
        <v>27</v>
      </c>
      <c r="G9" s="4" t="s">
        <v>28</v>
      </c>
      <c r="H9" s="4" t="s">
        <v>70</v>
      </c>
      <c r="I9" s="6">
        <v>4.0</v>
      </c>
      <c r="J9" s="6">
        <v>3200.0</v>
      </c>
      <c r="K9" s="7">
        <v>0.05</v>
      </c>
      <c r="L9" s="6">
        <v>2100.0</v>
      </c>
      <c r="M9" s="4" t="s">
        <v>39</v>
      </c>
      <c r="N9" s="4" t="s">
        <v>40</v>
      </c>
      <c r="O9" s="8">
        <f t="shared" si="1"/>
        <v>12800</v>
      </c>
      <c r="P9" s="8">
        <f t="shared" si="2"/>
        <v>640</v>
      </c>
      <c r="Q9" s="8">
        <f t="shared" si="3"/>
        <v>12160</v>
      </c>
      <c r="R9" s="8">
        <f t="shared" si="4"/>
        <v>8400</v>
      </c>
      <c r="S9" s="8">
        <f t="shared" si="5"/>
        <v>3760</v>
      </c>
      <c r="T9" s="9">
        <f t="shared" si="6"/>
        <v>0.3092105263</v>
      </c>
      <c r="U9" s="8" t="str">
        <f t="shared" si="7"/>
        <v>Feb</v>
      </c>
      <c r="V9" s="8">
        <f t="shared" si="8"/>
        <v>2026</v>
      </c>
      <c r="W9" s="8" t="str">
        <f t="shared" si="9"/>
        <v>Profit</v>
      </c>
    </row>
    <row r="10">
      <c r="A10" s="4" t="s">
        <v>71</v>
      </c>
      <c r="B10" s="5">
        <v>46059.0</v>
      </c>
      <c r="C10" s="4" t="s">
        <v>72</v>
      </c>
      <c r="D10" s="4" t="s">
        <v>55</v>
      </c>
      <c r="E10" s="4" t="s">
        <v>49</v>
      </c>
      <c r="F10" s="4" t="s">
        <v>73</v>
      </c>
      <c r="G10" s="4" t="s">
        <v>37</v>
      </c>
      <c r="H10" s="4" t="s">
        <v>74</v>
      </c>
      <c r="I10" s="6">
        <v>2.0</v>
      </c>
      <c r="J10" s="6">
        <v>5500.0</v>
      </c>
      <c r="K10" s="7">
        <v>0.1</v>
      </c>
      <c r="L10" s="6">
        <v>3600.0</v>
      </c>
      <c r="M10" s="4" t="s">
        <v>46</v>
      </c>
      <c r="N10" s="4" t="s">
        <v>31</v>
      </c>
      <c r="O10" s="8">
        <f t="shared" si="1"/>
        <v>11000</v>
      </c>
      <c r="P10" s="8">
        <f t="shared" si="2"/>
        <v>1100</v>
      </c>
      <c r="Q10" s="8">
        <f t="shared" si="3"/>
        <v>9900</v>
      </c>
      <c r="R10" s="8">
        <f t="shared" si="4"/>
        <v>7200</v>
      </c>
      <c r="S10" s="8">
        <f t="shared" si="5"/>
        <v>2700</v>
      </c>
      <c r="T10" s="9">
        <f t="shared" si="6"/>
        <v>0.2727272727</v>
      </c>
      <c r="U10" s="8" t="str">
        <f t="shared" si="7"/>
        <v>Feb</v>
      </c>
      <c r="V10" s="8">
        <f t="shared" si="8"/>
        <v>2026</v>
      </c>
      <c r="W10" s="8" t="str">
        <f t="shared" si="9"/>
        <v>Profit</v>
      </c>
    </row>
    <row r="11">
      <c r="A11" s="4" t="s">
        <v>75</v>
      </c>
      <c r="B11" s="5">
        <v>46063.0</v>
      </c>
      <c r="C11" s="4" t="s">
        <v>76</v>
      </c>
      <c r="D11" s="4" t="s">
        <v>34</v>
      </c>
      <c r="E11" s="4" t="s">
        <v>60</v>
      </c>
      <c r="F11" s="4" t="s">
        <v>77</v>
      </c>
      <c r="G11" s="4" t="s">
        <v>51</v>
      </c>
      <c r="H11" s="4" t="s">
        <v>78</v>
      </c>
      <c r="I11" s="6">
        <v>3.0</v>
      </c>
      <c r="J11" s="6">
        <v>3500.0</v>
      </c>
      <c r="K11" s="7">
        <v>0.15</v>
      </c>
      <c r="L11" s="6">
        <v>2200.0</v>
      </c>
      <c r="M11" s="4" t="s">
        <v>30</v>
      </c>
      <c r="N11" s="4" t="s">
        <v>40</v>
      </c>
      <c r="O11" s="8">
        <f t="shared" si="1"/>
        <v>10500</v>
      </c>
      <c r="P11" s="8">
        <f t="shared" si="2"/>
        <v>1575</v>
      </c>
      <c r="Q11" s="8">
        <f t="shared" si="3"/>
        <v>8925</v>
      </c>
      <c r="R11" s="8">
        <f t="shared" si="4"/>
        <v>6600</v>
      </c>
      <c r="S11" s="8">
        <f t="shared" si="5"/>
        <v>2325</v>
      </c>
      <c r="T11" s="9">
        <f t="shared" si="6"/>
        <v>0.2605042017</v>
      </c>
      <c r="U11" s="8" t="str">
        <f t="shared" si="7"/>
        <v>Feb</v>
      </c>
      <c r="V11" s="8">
        <f t="shared" si="8"/>
        <v>2026</v>
      </c>
      <c r="W11" s="8" t="str">
        <f t="shared" si="9"/>
        <v>Profit</v>
      </c>
    </row>
    <row r="12">
      <c r="A12" s="4" t="s">
        <v>79</v>
      </c>
      <c r="B12" s="5">
        <v>46067.0</v>
      </c>
      <c r="C12" s="4" t="s">
        <v>80</v>
      </c>
      <c r="D12" s="4" t="s">
        <v>43</v>
      </c>
      <c r="E12" s="4" t="s">
        <v>26</v>
      </c>
      <c r="F12" s="4" t="s">
        <v>27</v>
      </c>
      <c r="G12" s="4" t="s">
        <v>28</v>
      </c>
      <c r="H12" s="4" t="s">
        <v>81</v>
      </c>
      <c r="I12" s="6">
        <v>2.0</v>
      </c>
      <c r="J12" s="6">
        <v>6000.0</v>
      </c>
      <c r="K12" s="7">
        <v>0.08</v>
      </c>
      <c r="L12" s="6">
        <v>3900.0</v>
      </c>
      <c r="M12" s="4" t="s">
        <v>39</v>
      </c>
      <c r="N12" s="4" t="s">
        <v>31</v>
      </c>
      <c r="O12" s="8">
        <f t="shared" si="1"/>
        <v>12000</v>
      </c>
      <c r="P12" s="8">
        <f t="shared" si="2"/>
        <v>960</v>
      </c>
      <c r="Q12" s="8">
        <f t="shared" si="3"/>
        <v>11040</v>
      </c>
      <c r="R12" s="8">
        <f t="shared" si="4"/>
        <v>7800</v>
      </c>
      <c r="S12" s="8">
        <f t="shared" si="5"/>
        <v>3240</v>
      </c>
      <c r="T12" s="9">
        <f t="shared" si="6"/>
        <v>0.2934782609</v>
      </c>
      <c r="U12" s="8" t="str">
        <f t="shared" si="7"/>
        <v>Feb</v>
      </c>
      <c r="V12" s="8">
        <f t="shared" si="8"/>
        <v>2026</v>
      </c>
      <c r="W12" s="8" t="str">
        <f t="shared" si="9"/>
        <v>Profit</v>
      </c>
    </row>
    <row r="13">
      <c r="A13" s="4" t="s">
        <v>82</v>
      </c>
      <c r="B13" s="5">
        <v>46071.0</v>
      </c>
      <c r="C13" s="4" t="s">
        <v>83</v>
      </c>
      <c r="D13" s="4" t="s">
        <v>55</v>
      </c>
      <c r="E13" s="4" t="s">
        <v>35</v>
      </c>
      <c r="F13" s="4" t="s">
        <v>36</v>
      </c>
      <c r="G13" s="4" t="s">
        <v>37</v>
      </c>
      <c r="H13" s="4" t="s">
        <v>84</v>
      </c>
      <c r="I13" s="6">
        <v>2.0</v>
      </c>
      <c r="J13" s="6">
        <v>9000.0</v>
      </c>
      <c r="K13" s="7">
        <v>0.12</v>
      </c>
      <c r="L13" s="6">
        <v>6000.0</v>
      </c>
      <c r="M13" s="4" t="s">
        <v>63</v>
      </c>
      <c r="N13" s="4" t="s">
        <v>40</v>
      </c>
      <c r="O13" s="8">
        <f t="shared" si="1"/>
        <v>18000</v>
      </c>
      <c r="P13" s="8">
        <f t="shared" si="2"/>
        <v>2160</v>
      </c>
      <c r="Q13" s="8">
        <f t="shared" si="3"/>
        <v>15840</v>
      </c>
      <c r="R13" s="8">
        <f t="shared" si="4"/>
        <v>12000</v>
      </c>
      <c r="S13" s="8">
        <f t="shared" si="5"/>
        <v>3840</v>
      </c>
      <c r="T13" s="9">
        <f t="shared" si="6"/>
        <v>0.2424242424</v>
      </c>
      <c r="U13" s="8" t="str">
        <f t="shared" si="7"/>
        <v>Feb</v>
      </c>
      <c r="V13" s="8">
        <f t="shared" si="8"/>
        <v>2026</v>
      </c>
      <c r="W13" s="8" t="str">
        <f t="shared" si="9"/>
        <v>Profit</v>
      </c>
    </row>
    <row r="14">
      <c r="A14" s="4" t="s">
        <v>85</v>
      </c>
      <c r="B14" s="5">
        <v>46074.0</v>
      </c>
      <c r="C14" s="4" t="s">
        <v>86</v>
      </c>
      <c r="D14" s="4" t="s">
        <v>25</v>
      </c>
      <c r="E14" s="4" t="s">
        <v>49</v>
      </c>
      <c r="F14" s="4" t="s">
        <v>87</v>
      </c>
      <c r="G14" s="4" t="s">
        <v>51</v>
      </c>
      <c r="H14" s="4" t="s">
        <v>88</v>
      </c>
      <c r="I14" s="6">
        <v>3.0</v>
      </c>
      <c r="J14" s="6">
        <v>4200.0</v>
      </c>
      <c r="K14" s="7">
        <v>0.1</v>
      </c>
      <c r="L14" s="6">
        <v>2800.0</v>
      </c>
      <c r="M14" s="4" t="s">
        <v>30</v>
      </c>
      <c r="N14" s="4" t="s">
        <v>31</v>
      </c>
      <c r="O14" s="8">
        <f t="shared" si="1"/>
        <v>12600</v>
      </c>
      <c r="P14" s="8">
        <f t="shared" si="2"/>
        <v>1260</v>
      </c>
      <c r="Q14" s="8">
        <f t="shared" si="3"/>
        <v>11340</v>
      </c>
      <c r="R14" s="8">
        <f t="shared" si="4"/>
        <v>8400</v>
      </c>
      <c r="S14" s="8">
        <f t="shared" si="5"/>
        <v>2940</v>
      </c>
      <c r="T14" s="9">
        <f t="shared" si="6"/>
        <v>0.2592592593</v>
      </c>
      <c r="U14" s="8" t="str">
        <f t="shared" si="7"/>
        <v>Feb</v>
      </c>
      <c r="V14" s="8">
        <f t="shared" si="8"/>
        <v>2026</v>
      </c>
      <c r="W14" s="8" t="str">
        <f t="shared" si="9"/>
        <v>Profit</v>
      </c>
    </row>
    <row r="15">
      <c r="A15" s="4" t="s">
        <v>89</v>
      </c>
      <c r="B15" s="5">
        <v>46078.0</v>
      </c>
      <c r="C15" s="4" t="s">
        <v>90</v>
      </c>
      <c r="D15" s="4" t="s">
        <v>34</v>
      </c>
      <c r="E15" s="4" t="s">
        <v>60</v>
      </c>
      <c r="F15" s="4" t="s">
        <v>91</v>
      </c>
      <c r="G15" s="4" t="s">
        <v>28</v>
      </c>
      <c r="H15" s="4" t="s">
        <v>92</v>
      </c>
      <c r="I15" s="6">
        <v>8.0</v>
      </c>
      <c r="J15" s="6">
        <v>1500.0</v>
      </c>
      <c r="K15" s="7">
        <v>0.05</v>
      </c>
      <c r="L15" s="6">
        <v>900.0</v>
      </c>
      <c r="M15" s="4" t="s">
        <v>46</v>
      </c>
      <c r="N15" s="4" t="s">
        <v>40</v>
      </c>
      <c r="O15" s="8">
        <f t="shared" si="1"/>
        <v>12000</v>
      </c>
      <c r="P15" s="8">
        <f t="shared" si="2"/>
        <v>600</v>
      </c>
      <c r="Q15" s="8">
        <f t="shared" si="3"/>
        <v>11400</v>
      </c>
      <c r="R15" s="8">
        <f t="shared" si="4"/>
        <v>7200</v>
      </c>
      <c r="S15" s="8">
        <f t="shared" si="5"/>
        <v>4200</v>
      </c>
      <c r="T15" s="9">
        <f t="shared" si="6"/>
        <v>0.3684210526</v>
      </c>
      <c r="U15" s="8" t="str">
        <f t="shared" si="7"/>
        <v>Feb</v>
      </c>
      <c r="V15" s="8">
        <f t="shared" si="8"/>
        <v>2026</v>
      </c>
      <c r="W15" s="8" t="str">
        <f t="shared" si="9"/>
        <v>Profit</v>
      </c>
    </row>
    <row r="16">
      <c r="A16" s="4" t="s">
        <v>93</v>
      </c>
      <c r="B16" s="5">
        <v>46084.0</v>
      </c>
      <c r="C16" s="4" t="s">
        <v>94</v>
      </c>
      <c r="D16" s="4" t="s">
        <v>43</v>
      </c>
      <c r="E16" s="4" t="s">
        <v>26</v>
      </c>
      <c r="F16" s="4" t="s">
        <v>44</v>
      </c>
      <c r="G16" s="4" t="s">
        <v>37</v>
      </c>
      <c r="H16" s="4" t="s">
        <v>95</v>
      </c>
      <c r="I16" s="6">
        <v>2.0</v>
      </c>
      <c r="J16" s="6">
        <v>8500.0</v>
      </c>
      <c r="K16" s="7">
        <v>0.1</v>
      </c>
      <c r="L16" s="6">
        <v>5700.0</v>
      </c>
      <c r="M16" s="4" t="s">
        <v>39</v>
      </c>
      <c r="N16" s="4" t="s">
        <v>31</v>
      </c>
      <c r="O16" s="8">
        <f t="shared" si="1"/>
        <v>17000</v>
      </c>
      <c r="P16" s="8">
        <f t="shared" si="2"/>
        <v>1700</v>
      </c>
      <c r="Q16" s="8">
        <f t="shared" si="3"/>
        <v>15300</v>
      </c>
      <c r="R16" s="8">
        <f t="shared" si="4"/>
        <v>11400</v>
      </c>
      <c r="S16" s="8">
        <f t="shared" si="5"/>
        <v>3900</v>
      </c>
      <c r="T16" s="9">
        <f t="shared" si="6"/>
        <v>0.2549019608</v>
      </c>
      <c r="U16" s="8" t="str">
        <f t="shared" si="7"/>
        <v>Mar</v>
      </c>
      <c r="V16" s="8">
        <f t="shared" si="8"/>
        <v>2026</v>
      </c>
      <c r="W16" s="8" t="str">
        <f t="shared" si="9"/>
        <v>Profit</v>
      </c>
    </row>
    <row r="17">
      <c r="A17" s="4" t="s">
        <v>96</v>
      </c>
      <c r="B17" s="5">
        <v>46088.0</v>
      </c>
      <c r="C17" s="4" t="s">
        <v>97</v>
      </c>
      <c r="D17" s="4" t="s">
        <v>55</v>
      </c>
      <c r="E17" s="4" t="s">
        <v>35</v>
      </c>
      <c r="F17" s="4" t="s">
        <v>56</v>
      </c>
      <c r="G17" s="4" t="s">
        <v>28</v>
      </c>
      <c r="H17" s="4" t="s">
        <v>98</v>
      </c>
      <c r="I17" s="6">
        <v>3.0</v>
      </c>
      <c r="J17" s="6">
        <v>12500.0</v>
      </c>
      <c r="K17" s="7">
        <v>0.08</v>
      </c>
      <c r="L17" s="6">
        <v>8500.0</v>
      </c>
      <c r="M17" s="4" t="s">
        <v>63</v>
      </c>
      <c r="N17" s="4" t="s">
        <v>40</v>
      </c>
      <c r="O17" s="8">
        <f t="shared" si="1"/>
        <v>37500</v>
      </c>
      <c r="P17" s="8">
        <f t="shared" si="2"/>
        <v>3000</v>
      </c>
      <c r="Q17" s="8">
        <f t="shared" si="3"/>
        <v>34500</v>
      </c>
      <c r="R17" s="8">
        <f t="shared" si="4"/>
        <v>25500</v>
      </c>
      <c r="S17" s="8">
        <f t="shared" si="5"/>
        <v>9000</v>
      </c>
      <c r="T17" s="9">
        <f t="shared" si="6"/>
        <v>0.2608695652</v>
      </c>
      <c r="U17" s="8" t="str">
        <f t="shared" si="7"/>
        <v>Mar</v>
      </c>
      <c r="V17" s="8">
        <f t="shared" si="8"/>
        <v>2026</v>
      </c>
      <c r="W17" s="8" t="str">
        <f t="shared" si="9"/>
        <v>Profit</v>
      </c>
    </row>
    <row r="18">
      <c r="A18" s="4" t="s">
        <v>99</v>
      </c>
      <c r="B18" s="5">
        <v>46092.0</v>
      </c>
      <c r="C18" s="4" t="s">
        <v>100</v>
      </c>
      <c r="D18" s="4" t="s">
        <v>25</v>
      </c>
      <c r="E18" s="4" t="s">
        <v>49</v>
      </c>
      <c r="F18" s="4" t="s">
        <v>50</v>
      </c>
      <c r="G18" s="4" t="s">
        <v>51</v>
      </c>
      <c r="H18" s="4" t="s">
        <v>101</v>
      </c>
      <c r="I18" s="6">
        <v>5.0</v>
      </c>
      <c r="J18" s="6">
        <v>2400.0</v>
      </c>
      <c r="K18" s="7">
        <v>0.1</v>
      </c>
      <c r="L18" s="6">
        <v>1500.0</v>
      </c>
      <c r="M18" s="4" t="s">
        <v>30</v>
      </c>
      <c r="N18" s="4" t="s">
        <v>31</v>
      </c>
      <c r="O18" s="8">
        <f t="shared" si="1"/>
        <v>12000</v>
      </c>
      <c r="P18" s="8">
        <f t="shared" si="2"/>
        <v>1200</v>
      </c>
      <c r="Q18" s="8">
        <f t="shared" si="3"/>
        <v>10800</v>
      </c>
      <c r="R18" s="8">
        <f t="shared" si="4"/>
        <v>7500</v>
      </c>
      <c r="S18" s="8">
        <f t="shared" si="5"/>
        <v>3300</v>
      </c>
      <c r="T18" s="9">
        <f t="shared" si="6"/>
        <v>0.3055555556</v>
      </c>
      <c r="U18" s="8" t="str">
        <f t="shared" si="7"/>
        <v>Mar</v>
      </c>
      <c r="V18" s="8">
        <f t="shared" si="8"/>
        <v>2026</v>
      </c>
      <c r="W18" s="8" t="str">
        <f t="shared" si="9"/>
        <v>Profit</v>
      </c>
    </row>
    <row r="19">
      <c r="A19" s="4" t="s">
        <v>102</v>
      </c>
      <c r="B19" s="5">
        <v>46096.0</v>
      </c>
      <c r="C19" s="4" t="s">
        <v>103</v>
      </c>
      <c r="D19" s="4" t="s">
        <v>34</v>
      </c>
      <c r="E19" s="4" t="s">
        <v>60</v>
      </c>
      <c r="F19" s="4" t="s">
        <v>104</v>
      </c>
      <c r="G19" s="4" t="s">
        <v>28</v>
      </c>
      <c r="H19" s="4" t="s">
        <v>105</v>
      </c>
      <c r="I19" s="6">
        <v>4.0</v>
      </c>
      <c r="J19" s="6">
        <v>2800.0</v>
      </c>
      <c r="K19" s="7">
        <v>0.07</v>
      </c>
      <c r="L19" s="6">
        <v>1700.0</v>
      </c>
      <c r="M19" s="4" t="s">
        <v>39</v>
      </c>
      <c r="N19" s="4" t="s">
        <v>40</v>
      </c>
      <c r="O19" s="8">
        <f t="shared" si="1"/>
        <v>11200</v>
      </c>
      <c r="P19" s="8">
        <f t="shared" si="2"/>
        <v>784</v>
      </c>
      <c r="Q19" s="8">
        <f t="shared" si="3"/>
        <v>10416</v>
      </c>
      <c r="R19" s="8">
        <f t="shared" si="4"/>
        <v>6800</v>
      </c>
      <c r="S19" s="8">
        <f t="shared" si="5"/>
        <v>3616</v>
      </c>
      <c r="T19" s="9">
        <f t="shared" si="6"/>
        <v>0.3471582181</v>
      </c>
      <c r="U19" s="8" t="str">
        <f t="shared" si="7"/>
        <v>Mar</v>
      </c>
      <c r="V19" s="8">
        <f t="shared" si="8"/>
        <v>2026</v>
      </c>
      <c r="W19" s="8" t="str">
        <f t="shared" si="9"/>
        <v>Profit</v>
      </c>
    </row>
    <row r="20">
      <c r="A20" s="4" t="s">
        <v>106</v>
      </c>
      <c r="B20" s="5">
        <v>46101.0</v>
      </c>
      <c r="C20" s="4" t="s">
        <v>107</v>
      </c>
      <c r="D20" s="4" t="s">
        <v>43</v>
      </c>
      <c r="E20" s="4" t="s">
        <v>26</v>
      </c>
      <c r="F20" s="4" t="s">
        <v>66</v>
      </c>
      <c r="G20" s="4" t="s">
        <v>37</v>
      </c>
      <c r="H20" s="4" t="s">
        <v>108</v>
      </c>
      <c r="I20" s="6">
        <v>6.0</v>
      </c>
      <c r="J20" s="6">
        <v>3200.0</v>
      </c>
      <c r="K20" s="7">
        <v>0.05</v>
      </c>
      <c r="L20" s="6">
        <v>2100.0</v>
      </c>
      <c r="M20" s="4" t="s">
        <v>46</v>
      </c>
      <c r="N20" s="4" t="s">
        <v>31</v>
      </c>
      <c r="O20" s="8">
        <f t="shared" si="1"/>
        <v>19200</v>
      </c>
      <c r="P20" s="8">
        <f t="shared" si="2"/>
        <v>960</v>
      </c>
      <c r="Q20" s="8">
        <f t="shared" si="3"/>
        <v>18240</v>
      </c>
      <c r="R20" s="8">
        <f t="shared" si="4"/>
        <v>12600</v>
      </c>
      <c r="S20" s="8">
        <f t="shared" si="5"/>
        <v>5640</v>
      </c>
      <c r="T20" s="9">
        <f t="shared" si="6"/>
        <v>0.3092105263</v>
      </c>
      <c r="U20" s="8" t="str">
        <f t="shared" si="7"/>
        <v>Mar</v>
      </c>
      <c r="V20" s="8">
        <f t="shared" si="8"/>
        <v>2026</v>
      </c>
      <c r="W20" s="8" t="str">
        <f t="shared" si="9"/>
        <v>Profit</v>
      </c>
    </row>
    <row r="21">
      <c r="A21" s="4" t="s">
        <v>109</v>
      </c>
      <c r="B21" s="5">
        <v>46107.0</v>
      </c>
      <c r="C21" s="4" t="s">
        <v>110</v>
      </c>
      <c r="D21" s="4" t="s">
        <v>55</v>
      </c>
      <c r="E21" s="4" t="s">
        <v>35</v>
      </c>
      <c r="F21" s="4" t="s">
        <v>27</v>
      </c>
      <c r="G21" s="4" t="s">
        <v>28</v>
      </c>
      <c r="H21" s="4" t="s">
        <v>111</v>
      </c>
      <c r="I21" s="6">
        <v>2.0</v>
      </c>
      <c r="J21" s="6">
        <v>18000.0</v>
      </c>
      <c r="K21" s="7">
        <v>0.12</v>
      </c>
      <c r="L21" s="6">
        <v>12500.0</v>
      </c>
      <c r="M21" s="4" t="s">
        <v>30</v>
      </c>
      <c r="N21" s="4" t="s">
        <v>40</v>
      </c>
      <c r="O21" s="8">
        <f t="shared" si="1"/>
        <v>36000</v>
      </c>
      <c r="P21" s="8">
        <f t="shared" si="2"/>
        <v>4320</v>
      </c>
      <c r="Q21" s="8">
        <f t="shared" si="3"/>
        <v>31680</v>
      </c>
      <c r="R21" s="8">
        <f t="shared" si="4"/>
        <v>25000</v>
      </c>
      <c r="S21" s="8">
        <f t="shared" si="5"/>
        <v>6680</v>
      </c>
      <c r="T21" s="9">
        <f t="shared" si="6"/>
        <v>0.2108585859</v>
      </c>
      <c r="U21" s="8" t="str">
        <f t="shared" si="7"/>
        <v>Mar</v>
      </c>
      <c r="V21" s="8">
        <f t="shared" si="8"/>
        <v>2026</v>
      </c>
      <c r="W21" s="8" t="str">
        <f t="shared" si="9"/>
        <v>Profit</v>
      </c>
    </row>
    <row r="22">
      <c r="A22" s="4" t="s">
        <v>112</v>
      </c>
      <c r="B22" s="5">
        <v>46114.0</v>
      </c>
      <c r="C22" s="4" t="s">
        <v>113</v>
      </c>
      <c r="D22" s="4" t="s">
        <v>25</v>
      </c>
      <c r="E22" s="4" t="s">
        <v>26</v>
      </c>
      <c r="F22" s="4" t="s">
        <v>27</v>
      </c>
      <c r="G22" s="4" t="s">
        <v>51</v>
      </c>
      <c r="H22" s="4" t="s">
        <v>114</v>
      </c>
      <c r="I22" s="6">
        <v>8.0</v>
      </c>
      <c r="J22" s="6">
        <v>1200.0</v>
      </c>
      <c r="K22" s="7">
        <v>0.08</v>
      </c>
      <c r="L22" s="6">
        <v>700.0</v>
      </c>
      <c r="M22" s="4" t="s">
        <v>39</v>
      </c>
      <c r="N22" s="4" t="s">
        <v>31</v>
      </c>
      <c r="O22" s="8">
        <f t="shared" si="1"/>
        <v>9600</v>
      </c>
      <c r="P22" s="8">
        <f t="shared" si="2"/>
        <v>768</v>
      </c>
      <c r="Q22" s="8">
        <f t="shared" si="3"/>
        <v>8832</v>
      </c>
      <c r="R22" s="8">
        <f t="shared" si="4"/>
        <v>5600</v>
      </c>
      <c r="S22" s="8">
        <f t="shared" si="5"/>
        <v>3232</v>
      </c>
      <c r="T22" s="9">
        <f t="shared" si="6"/>
        <v>0.365942029</v>
      </c>
      <c r="U22" s="8" t="str">
        <f t="shared" si="7"/>
        <v>Apr</v>
      </c>
      <c r="V22" s="8">
        <f t="shared" si="8"/>
        <v>2026</v>
      </c>
      <c r="W22" s="8" t="str">
        <f t="shared" si="9"/>
        <v>Profit</v>
      </c>
    </row>
    <row r="23">
      <c r="A23" s="4" t="s">
        <v>115</v>
      </c>
      <c r="B23" s="5">
        <v>46118.0</v>
      </c>
      <c r="C23" s="4" t="s">
        <v>116</v>
      </c>
      <c r="D23" s="4" t="s">
        <v>34</v>
      </c>
      <c r="E23" s="4" t="s">
        <v>35</v>
      </c>
      <c r="F23" s="4" t="s">
        <v>36</v>
      </c>
      <c r="G23" s="4" t="s">
        <v>37</v>
      </c>
      <c r="H23" s="4" t="s">
        <v>117</v>
      </c>
      <c r="I23" s="6">
        <v>3.0</v>
      </c>
      <c r="J23" s="6">
        <v>7200.0</v>
      </c>
      <c r="K23" s="7">
        <v>0.1</v>
      </c>
      <c r="L23" s="6">
        <v>4700.0</v>
      </c>
      <c r="M23" s="4" t="s">
        <v>63</v>
      </c>
      <c r="N23" s="4" t="s">
        <v>40</v>
      </c>
      <c r="O23" s="8">
        <f t="shared" si="1"/>
        <v>21600</v>
      </c>
      <c r="P23" s="8">
        <f t="shared" si="2"/>
        <v>2160</v>
      </c>
      <c r="Q23" s="8">
        <f t="shared" si="3"/>
        <v>19440</v>
      </c>
      <c r="R23" s="8">
        <f t="shared" si="4"/>
        <v>14100</v>
      </c>
      <c r="S23" s="8">
        <f t="shared" si="5"/>
        <v>5340</v>
      </c>
      <c r="T23" s="9">
        <f t="shared" si="6"/>
        <v>0.274691358</v>
      </c>
      <c r="U23" s="8" t="str">
        <f t="shared" si="7"/>
        <v>Apr</v>
      </c>
      <c r="V23" s="8">
        <f t="shared" si="8"/>
        <v>2026</v>
      </c>
      <c r="W23" s="8" t="str">
        <f t="shared" si="9"/>
        <v>Profit</v>
      </c>
    </row>
    <row r="24">
      <c r="A24" s="4" t="s">
        <v>118</v>
      </c>
      <c r="B24" s="5">
        <v>46122.0</v>
      </c>
      <c r="C24" s="4" t="s">
        <v>119</v>
      </c>
      <c r="D24" s="4" t="s">
        <v>43</v>
      </c>
      <c r="E24" s="4" t="s">
        <v>49</v>
      </c>
      <c r="F24" s="4" t="s">
        <v>73</v>
      </c>
      <c r="G24" s="4" t="s">
        <v>28</v>
      </c>
      <c r="H24" s="4" t="s">
        <v>120</v>
      </c>
      <c r="I24" s="6">
        <v>5.0</v>
      </c>
      <c r="J24" s="6">
        <v>2200.0</v>
      </c>
      <c r="K24" s="7">
        <v>0.05</v>
      </c>
      <c r="L24" s="6">
        <v>1300.0</v>
      </c>
      <c r="M24" s="4" t="s">
        <v>30</v>
      </c>
      <c r="N24" s="4" t="s">
        <v>31</v>
      </c>
      <c r="O24" s="8">
        <f t="shared" si="1"/>
        <v>11000</v>
      </c>
      <c r="P24" s="8">
        <f t="shared" si="2"/>
        <v>550</v>
      </c>
      <c r="Q24" s="8">
        <f t="shared" si="3"/>
        <v>10450</v>
      </c>
      <c r="R24" s="8">
        <f t="shared" si="4"/>
        <v>6500</v>
      </c>
      <c r="S24" s="8">
        <f t="shared" si="5"/>
        <v>3950</v>
      </c>
      <c r="T24" s="9">
        <f t="shared" si="6"/>
        <v>0.3779904306</v>
      </c>
      <c r="U24" s="8" t="str">
        <f t="shared" si="7"/>
        <v>Apr</v>
      </c>
      <c r="V24" s="8">
        <f t="shared" si="8"/>
        <v>2026</v>
      </c>
      <c r="W24" s="8" t="str">
        <f t="shared" si="9"/>
        <v>Profit</v>
      </c>
    </row>
    <row r="25">
      <c r="A25" s="4" t="s">
        <v>121</v>
      </c>
      <c r="B25" s="5">
        <v>46126.0</v>
      </c>
      <c r="C25" s="4" t="s">
        <v>122</v>
      </c>
      <c r="D25" s="4" t="s">
        <v>55</v>
      </c>
      <c r="E25" s="4" t="s">
        <v>60</v>
      </c>
      <c r="F25" s="4" t="s">
        <v>77</v>
      </c>
      <c r="G25" s="4" t="s">
        <v>51</v>
      </c>
      <c r="H25" s="4" t="s">
        <v>123</v>
      </c>
      <c r="I25" s="6">
        <v>6.0</v>
      </c>
      <c r="J25" s="6">
        <v>1900.0</v>
      </c>
      <c r="K25" s="7">
        <v>0.1</v>
      </c>
      <c r="L25" s="6">
        <v>1200.0</v>
      </c>
      <c r="M25" s="4" t="s">
        <v>46</v>
      </c>
      <c r="N25" s="4" t="s">
        <v>40</v>
      </c>
      <c r="O25" s="8">
        <f t="shared" si="1"/>
        <v>11400</v>
      </c>
      <c r="P25" s="8">
        <f t="shared" si="2"/>
        <v>1140</v>
      </c>
      <c r="Q25" s="8">
        <f t="shared" si="3"/>
        <v>10260</v>
      </c>
      <c r="R25" s="8">
        <f t="shared" si="4"/>
        <v>7200</v>
      </c>
      <c r="S25" s="8">
        <f t="shared" si="5"/>
        <v>3060</v>
      </c>
      <c r="T25" s="9">
        <f t="shared" si="6"/>
        <v>0.298245614</v>
      </c>
      <c r="U25" s="8" t="str">
        <f t="shared" si="7"/>
        <v>Apr</v>
      </c>
      <c r="V25" s="8">
        <f t="shared" si="8"/>
        <v>2026</v>
      </c>
      <c r="W25" s="8" t="str">
        <f t="shared" si="9"/>
        <v>Profit</v>
      </c>
    </row>
    <row r="26">
      <c r="A26" s="4" t="s">
        <v>124</v>
      </c>
      <c r="B26" s="5">
        <v>46131.0</v>
      </c>
      <c r="C26" s="4" t="s">
        <v>125</v>
      </c>
      <c r="D26" s="4" t="s">
        <v>25</v>
      </c>
      <c r="E26" s="4" t="s">
        <v>26</v>
      </c>
      <c r="F26" s="4" t="s">
        <v>44</v>
      </c>
      <c r="G26" s="4" t="s">
        <v>28</v>
      </c>
      <c r="H26" s="4" t="s">
        <v>126</v>
      </c>
      <c r="I26" s="6">
        <v>3.0</v>
      </c>
      <c r="J26" s="6">
        <v>8500.0</v>
      </c>
      <c r="K26" s="7">
        <v>0.07</v>
      </c>
      <c r="L26" s="6">
        <v>5700.0</v>
      </c>
      <c r="M26" s="4" t="s">
        <v>39</v>
      </c>
      <c r="N26" s="4" t="s">
        <v>31</v>
      </c>
      <c r="O26" s="8">
        <f t="shared" si="1"/>
        <v>25500</v>
      </c>
      <c r="P26" s="8">
        <f t="shared" si="2"/>
        <v>1785</v>
      </c>
      <c r="Q26" s="8">
        <f t="shared" si="3"/>
        <v>23715</v>
      </c>
      <c r="R26" s="8">
        <f t="shared" si="4"/>
        <v>17100</v>
      </c>
      <c r="S26" s="8">
        <f t="shared" si="5"/>
        <v>6615</v>
      </c>
      <c r="T26" s="9">
        <f t="shared" si="6"/>
        <v>0.2789373814</v>
      </c>
      <c r="U26" s="8" t="str">
        <f t="shared" si="7"/>
        <v>Apr</v>
      </c>
      <c r="V26" s="8">
        <f t="shared" si="8"/>
        <v>2026</v>
      </c>
      <c r="W26" s="8" t="str">
        <f t="shared" si="9"/>
        <v>Profit</v>
      </c>
    </row>
    <row r="27">
      <c r="A27" s="4" t="s">
        <v>127</v>
      </c>
      <c r="B27" s="5">
        <v>46136.0</v>
      </c>
      <c r="C27" s="4" t="s">
        <v>128</v>
      </c>
      <c r="D27" s="4" t="s">
        <v>34</v>
      </c>
      <c r="E27" s="4" t="s">
        <v>35</v>
      </c>
      <c r="F27" s="4" t="s">
        <v>56</v>
      </c>
      <c r="G27" s="4" t="s">
        <v>37</v>
      </c>
      <c r="H27" s="4" t="s">
        <v>129</v>
      </c>
      <c r="I27" s="6">
        <v>2.0</v>
      </c>
      <c r="J27" s="6">
        <v>14500.0</v>
      </c>
      <c r="K27" s="7">
        <v>0.12</v>
      </c>
      <c r="L27" s="6">
        <v>9500.0</v>
      </c>
      <c r="M27" s="4" t="s">
        <v>30</v>
      </c>
      <c r="N27" s="4" t="s">
        <v>40</v>
      </c>
      <c r="O27" s="8">
        <f t="shared" si="1"/>
        <v>29000</v>
      </c>
      <c r="P27" s="8">
        <f t="shared" si="2"/>
        <v>3480</v>
      </c>
      <c r="Q27" s="8">
        <f t="shared" si="3"/>
        <v>25520</v>
      </c>
      <c r="R27" s="8">
        <f t="shared" si="4"/>
        <v>19000</v>
      </c>
      <c r="S27" s="8">
        <f t="shared" si="5"/>
        <v>6520</v>
      </c>
      <c r="T27" s="9">
        <f t="shared" si="6"/>
        <v>0.2554858934</v>
      </c>
      <c r="U27" s="8" t="str">
        <f t="shared" si="7"/>
        <v>Apr</v>
      </c>
      <c r="V27" s="8">
        <f t="shared" si="8"/>
        <v>2026</v>
      </c>
      <c r="W27" s="8" t="str">
        <f t="shared" si="9"/>
        <v>Profit</v>
      </c>
    </row>
    <row r="28">
      <c r="A28" s="4" t="s">
        <v>130</v>
      </c>
      <c r="B28" s="5">
        <v>46145.0</v>
      </c>
      <c r="C28" s="4" t="s">
        <v>131</v>
      </c>
      <c r="D28" s="4" t="s">
        <v>43</v>
      </c>
      <c r="E28" s="4" t="s">
        <v>49</v>
      </c>
      <c r="F28" s="4" t="s">
        <v>87</v>
      </c>
      <c r="G28" s="4" t="s">
        <v>51</v>
      </c>
      <c r="H28" s="4" t="s">
        <v>132</v>
      </c>
      <c r="I28" s="6">
        <v>2.0</v>
      </c>
      <c r="J28" s="6">
        <v>6500.0</v>
      </c>
      <c r="K28" s="7">
        <v>0.15</v>
      </c>
      <c r="L28" s="6">
        <v>4100.0</v>
      </c>
      <c r="M28" s="4" t="s">
        <v>63</v>
      </c>
      <c r="N28" s="4" t="s">
        <v>31</v>
      </c>
      <c r="O28" s="8">
        <f t="shared" si="1"/>
        <v>13000</v>
      </c>
      <c r="P28" s="8">
        <f t="shared" si="2"/>
        <v>1950</v>
      </c>
      <c r="Q28" s="8">
        <f t="shared" si="3"/>
        <v>11050</v>
      </c>
      <c r="R28" s="8">
        <f t="shared" si="4"/>
        <v>8200</v>
      </c>
      <c r="S28" s="8">
        <f t="shared" si="5"/>
        <v>2850</v>
      </c>
      <c r="T28" s="9">
        <f t="shared" si="6"/>
        <v>0.257918552</v>
      </c>
      <c r="U28" s="8" t="str">
        <f t="shared" si="7"/>
        <v>May</v>
      </c>
      <c r="V28" s="8">
        <f t="shared" si="8"/>
        <v>2026</v>
      </c>
      <c r="W28" s="8" t="str">
        <f t="shared" si="9"/>
        <v>Profit</v>
      </c>
    </row>
    <row r="29">
      <c r="A29" s="4" t="s">
        <v>133</v>
      </c>
      <c r="B29" s="5">
        <v>46150.0</v>
      </c>
      <c r="C29" s="4" t="s">
        <v>134</v>
      </c>
      <c r="D29" s="4" t="s">
        <v>55</v>
      </c>
      <c r="E29" s="4" t="s">
        <v>60</v>
      </c>
      <c r="F29" s="4" t="s">
        <v>91</v>
      </c>
      <c r="G29" s="4" t="s">
        <v>28</v>
      </c>
      <c r="H29" s="4" t="s">
        <v>135</v>
      </c>
      <c r="I29" s="6">
        <v>2.0</v>
      </c>
      <c r="J29" s="6">
        <v>28000.0</v>
      </c>
      <c r="K29" s="7">
        <v>0.1</v>
      </c>
      <c r="L29" s="6">
        <v>19500.0</v>
      </c>
      <c r="M29" s="4" t="s">
        <v>39</v>
      </c>
      <c r="N29" s="4" t="s">
        <v>40</v>
      </c>
      <c r="O29" s="8">
        <f t="shared" si="1"/>
        <v>56000</v>
      </c>
      <c r="P29" s="8">
        <f t="shared" si="2"/>
        <v>5600</v>
      </c>
      <c r="Q29" s="8">
        <f t="shared" si="3"/>
        <v>50400</v>
      </c>
      <c r="R29" s="8">
        <f t="shared" si="4"/>
        <v>39000</v>
      </c>
      <c r="S29" s="8">
        <f t="shared" si="5"/>
        <v>11400</v>
      </c>
      <c r="T29" s="9">
        <f t="shared" si="6"/>
        <v>0.2261904762</v>
      </c>
      <c r="U29" s="8" t="str">
        <f t="shared" si="7"/>
        <v>May</v>
      </c>
      <c r="V29" s="8">
        <f t="shared" si="8"/>
        <v>2026</v>
      </c>
      <c r="W29" s="8" t="str">
        <f t="shared" si="9"/>
        <v>Profit</v>
      </c>
    </row>
    <row r="30">
      <c r="A30" s="4" t="s">
        <v>136</v>
      </c>
      <c r="B30" s="5">
        <v>46156.0</v>
      </c>
      <c r="C30" s="4" t="s">
        <v>137</v>
      </c>
      <c r="D30" s="4" t="s">
        <v>25</v>
      </c>
      <c r="E30" s="4" t="s">
        <v>26</v>
      </c>
      <c r="F30" s="4" t="s">
        <v>66</v>
      </c>
      <c r="G30" s="4" t="s">
        <v>37</v>
      </c>
      <c r="H30" s="4" t="s">
        <v>138</v>
      </c>
      <c r="I30" s="6">
        <v>3.0</v>
      </c>
      <c r="J30" s="6">
        <v>4800.0</v>
      </c>
      <c r="K30" s="7">
        <v>0.08</v>
      </c>
      <c r="L30" s="6">
        <v>3000.0</v>
      </c>
      <c r="M30" s="4" t="s">
        <v>46</v>
      </c>
      <c r="N30" s="4" t="s">
        <v>31</v>
      </c>
      <c r="O30" s="8">
        <f t="shared" si="1"/>
        <v>14400</v>
      </c>
      <c r="P30" s="8">
        <f t="shared" si="2"/>
        <v>1152</v>
      </c>
      <c r="Q30" s="8">
        <f t="shared" si="3"/>
        <v>13248</v>
      </c>
      <c r="R30" s="8">
        <f t="shared" si="4"/>
        <v>9000</v>
      </c>
      <c r="S30" s="8">
        <f t="shared" si="5"/>
        <v>4248</v>
      </c>
      <c r="T30" s="9">
        <f t="shared" si="6"/>
        <v>0.3206521739</v>
      </c>
      <c r="U30" s="8" t="str">
        <f t="shared" si="7"/>
        <v>May</v>
      </c>
      <c r="V30" s="8">
        <f t="shared" si="8"/>
        <v>2026</v>
      </c>
      <c r="W30" s="8" t="str">
        <f t="shared" si="9"/>
        <v>Profit</v>
      </c>
    </row>
    <row r="31">
      <c r="A31" s="4" t="s">
        <v>139</v>
      </c>
      <c r="B31" s="5">
        <v>46163.0</v>
      </c>
      <c r="C31" s="4" t="s">
        <v>140</v>
      </c>
      <c r="D31" s="4" t="s">
        <v>34</v>
      </c>
      <c r="E31" s="4" t="s">
        <v>35</v>
      </c>
      <c r="F31" s="4" t="s">
        <v>27</v>
      </c>
      <c r="G31" s="4" t="s">
        <v>28</v>
      </c>
      <c r="H31" s="4" t="s">
        <v>141</v>
      </c>
      <c r="I31" s="6">
        <v>2.0</v>
      </c>
      <c r="J31" s="6">
        <v>11000.0</v>
      </c>
      <c r="K31" s="7">
        <v>0.05</v>
      </c>
      <c r="L31" s="6">
        <v>7200.0</v>
      </c>
      <c r="M31" s="4" t="s">
        <v>30</v>
      </c>
      <c r="N31" s="4" t="s">
        <v>40</v>
      </c>
      <c r="O31" s="8">
        <f t="shared" si="1"/>
        <v>22000</v>
      </c>
      <c r="P31" s="8">
        <f t="shared" si="2"/>
        <v>1100</v>
      </c>
      <c r="Q31" s="8">
        <f t="shared" si="3"/>
        <v>20900</v>
      </c>
      <c r="R31" s="8">
        <f t="shared" si="4"/>
        <v>14400</v>
      </c>
      <c r="S31" s="8">
        <f t="shared" si="5"/>
        <v>6500</v>
      </c>
      <c r="T31" s="9">
        <f t="shared" si="6"/>
        <v>0.3110047847</v>
      </c>
      <c r="U31" s="8" t="str">
        <f t="shared" si="7"/>
        <v>May</v>
      </c>
      <c r="V31" s="8">
        <f t="shared" si="8"/>
        <v>2026</v>
      </c>
      <c r="W31" s="8" t="str">
        <f t="shared" si="9"/>
        <v>Profit</v>
      </c>
    </row>
  </sheetData>
  <autoFilter ref="$A$1:$N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0" t="s">
        <v>142</v>
      </c>
      <c r="B1" s="10" t="s">
        <v>143</v>
      </c>
    </row>
    <row r="2">
      <c r="A2" s="11" t="s">
        <v>144</v>
      </c>
      <c r="B2" s="12">
        <f>SUM('sales-data'!Q1:Q984)</f>
        <v>454090</v>
      </c>
    </row>
    <row r="3">
      <c r="A3" s="11" t="s">
        <v>145</v>
      </c>
      <c r="B3" s="12">
        <f>SUM('sales-data'!S1:S984)</f>
        <v>126390</v>
      </c>
    </row>
    <row r="4">
      <c r="A4" s="11" t="s">
        <v>146</v>
      </c>
      <c r="B4" s="12">
        <f>COUNTA('sales-data'!A1:A31)</f>
        <v>31</v>
      </c>
    </row>
    <row r="5">
      <c r="A5" s="11" t="s">
        <v>147</v>
      </c>
      <c r="B5" s="12">
        <f>SUM('sales-data'!I2:I984)</f>
        <v>107</v>
      </c>
    </row>
    <row r="6">
      <c r="A6" s="11" t="s">
        <v>148</v>
      </c>
      <c r="B6" s="12">
        <f>SUM('sales-data'!Q2)/COUNTA('sales-data'!A2:A984)</f>
        <v>76</v>
      </c>
    </row>
    <row r="7">
      <c r="A7" s="11" t="s">
        <v>149</v>
      </c>
      <c r="B7" s="12">
        <f>SUM('sales-data'!P5:P984)</f>
        <v>43790</v>
      </c>
    </row>
    <row r="8">
      <c r="A8" s="11" t="s">
        <v>150</v>
      </c>
      <c r="B8" s="13">
        <f>SUM('sales-data'!S5:S984)/SUM('sales-data'!Q5:Q984)</f>
        <v>0.2769503464</v>
      </c>
    </row>
    <row r="9">
      <c r="A9" s="11" t="s">
        <v>151</v>
      </c>
      <c r="B9" s="12">
        <f>COUNTIF('sales-data'!W5:W984,"Profit")</f>
        <v>27</v>
      </c>
    </row>
    <row r="13">
      <c r="A13" s="2"/>
      <c r="B13" s="2"/>
      <c r="C13" s="2"/>
      <c r="D13" s="2"/>
    </row>
    <row r="14">
      <c r="A14" s="14" t="s">
        <v>4</v>
      </c>
      <c r="B14" s="14" t="s">
        <v>152</v>
      </c>
      <c r="C14" s="14" t="s">
        <v>153</v>
      </c>
      <c r="D14" s="14" t="s">
        <v>18</v>
      </c>
    </row>
    <row r="15">
      <c r="A15" s="15" t="s">
        <v>26</v>
      </c>
      <c r="B15" s="16">
        <f>COUNTIF('sales-data'!E2:E984,A15)</f>
        <v>9</v>
      </c>
      <c r="C15" s="16">
        <f>SUMIF('sales-data'!E2:E984,A15,'sales-data'!Q2:Q984)</f>
        <v>110235</v>
      </c>
      <c r="D15" s="16">
        <f>SUMIF('sales-data'!E2:E984,A15,'sales-data'!S2:S984)</f>
        <v>33335</v>
      </c>
    </row>
    <row r="16">
      <c r="A16" s="15" t="s">
        <v>49</v>
      </c>
      <c r="B16" s="16">
        <f>COUNTIF('sales-data'!E3:E984,A16)</f>
        <v>6</v>
      </c>
      <c r="C16" s="16">
        <f>SUMIF('sales-data'!E3:E984,A16,'sales-data'!Q3:Q984)</f>
        <v>60164</v>
      </c>
      <c r="D16" s="16">
        <f>SUMIF('sales-data'!E3:E984,A16,'sales-data'!S3:S984)</f>
        <v>17964</v>
      </c>
    </row>
    <row r="17">
      <c r="A17" s="15" t="s">
        <v>60</v>
      </c>
      <c r="B17" s="16">
        <f>COUNTIF('sales-data'!E4:E984,A17)</f>
        <v>6</v>
      </c>
      <c r="C17" s="16">
        <f>SUMIF('sales-data'!E4:E984,A17,'sales-data'!Q4:Q984)</f>
        <v>105351</v>
      </c>
      <c r="D17" s="16">
        <f>SUMIF('sales-data'!E4:E984,A17,'sales-data'!S4:S984)</f>
        <v>28551</v>
      </c>
    </row>
    <row r="18">
      <c r="A18" s="15" t="s">
        <v>35</v>
      </c>
      <c r="B18" s="16">
        <f>COUNTIF('sales-data'!E5:E984,A18)</f>
        <v>8</v>
      </c>
      <c r="C18" s="16">
        <f>SUMIF('sales-data'!E5:E984,A18,'sales-data'!Q5:Q984)</f>
        <v>166640</v>
      </c>
      <c r="D18" s="16">
        <f>SUMIF('sales-data'!E5:E984,A18,'sales-data'!S5:S984)</f>
        <v>43440</v>
      </c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17" t="s">
        <v>6</v>
      </c>
      <c r="B28" s="17" t="s">
        <v>154</v>
      </c>
      <c r="C28" s="17" t="s">
        <v>153</v>
      </c>
      <c r="D28" s="17" t="s">
        <v>18</v>
      </c>
      <c r="E28" s="17" t="s">
        <v>155</v>
      </c>
    </row>
    <row r="29">
      <c r="A29" s="18" t="s">
        <v>28</v>
      </c>
      <c r="B29" s="19">
        <f>COUNTIF('sales-data'!G2:G984,A29)</f>
        <v>13</v>
      </c>
      <c r="C29" s="19">
        <f>SUMIF('sales-data'!G2:G984,A29,'sales-data'!Q2:Q984)</f>
        <v>231241</v>
      </c>
      <c r="D29" s="19">
        <f>SUMIF('sales-data'!G2:G984,A29,'sales-data'!S2:S984)</f>
        <v>63741</v>
      </c>
      <c r="E29" s="20">
        <f>AVERAGEIF('sales-data'!G2:G984,A29,'sales-data'!Q2:Q984)</f>
        <v>17787.76923</v>
      </c>
    </row>
    <row r="30">
      <c r="A30" s="18" t="s">
        <v>37</v>
      </c>
      <c r="B30" s="19">
        <f>COUNTIF('sales-data'!G3:G984,A30)</f>
        <v>9</v>
      </c>
      <c r="C30" s="19">
        <f>SUMIF('sales-data'!G3:G984,A30,'sales-data'!Q3:Q984)</f>
        <v>143138</v>
      </c>
      <c r="D30" s="19">
        <f>SUMIF('sales-data'!G3:G984,A30,'sales-data'!S3:S984)</f>
        <v>39238</v>
      </c>
      <c r="E30" s="20">
        <f>AVERAGEIF('sales-data'!G3:G984,A30,'sales-data'!Q3:Q984)</f>
        <v>15904.22222</v>
      </c>
    </row>
    <row r="31">
      <c r="A31" s="18" t="s">
        <v>51</v>
      </c>
      <c r="B31" s="19">
        <f>COUNTIF('sales-data'!G4:G984,A31)</f>
        <v>8</v>
      </c>
      <c r="C31" s="19">
        <f>SUMIF('sales-data'!G4:G984,A31,'sales-data'!Q4:Q984)</f>
        <v>79711</v>
      </c>
      <c r="D31" s="19">
        <f>SUMIF('sales-data'!G4:G984,A31,'sales-data'!S4:S984)</f>
        <v>23411</v>
      </c>
      <c r="E31" s="20">
        <f>AVERAGEIF('sales-data'!G4:G984,A31,'sales-data'!Q4:Q984)</f>
        <v>9963.875</v>
      </c>
    </row>
    <row r="38">
      <c r="A38" s="21" t="s">
        <v>3</v>
      </c>
      <c r="B38" s="21" t="s">
        <v>154</v>
      </c>
      <c r="C38" s="21" t="s">
        <v>156</v>
      </c>
      <c r="D38" s="21" t="s">
        <v>18</v>
      </c>
    </row>
    <row r="39">
      <c r="A39" s="22" t="s">
        <v>25</v>
      </c>
      <c r="B39" s="23">
        <f>COUNTIF('sales-data'!D2:D984,A39)</f>
        <v>8</v>
      </c>
      <c r="C39" s="23">
        <f>SUMIF('sales-data'!D2:D984,A39,'sales-data'!Q2:Q984)</f>
        <v>88999</v>
      </c>
      <c r="D39" s="23">
        <f>SUMIF('sales-data'!D2:D984,A39,'sales-data'!S2:S984)</f>
        <v>27099</v>
      </c>
    </row>
    <row r="40">
      <c r="A40" s="22" t="s">
        <v>34</v>
      </c>
      <c r="B40" s="23">
        <f>COUNTIF('sales-data'!D3:D984,A40)</f>
        <v>8</v>
      </c>
      <c r="C40" s="23">
        <f>SUMIF('sales-data'!D3:D984,A40,'sales-data'!Q3:Q984)</f>
        <v>122251</v>
      </c>
      <c r="D40" s="23">
        <f>SUMIF('sales-data'!D3:D984,A40,'sales-data'!S3:S984)</f>
        <v>35551</v>
      </c>
    </row>
    <row r="41">
      <c r="A41" s="22" t="s">
        <v>43</v>
      </c>
      <c r="B41" s="23">
        <f>COUNTIF('sales-data'!D4:D984,A41)</f>
        <v>7</v>
      </c>
      <c r="C41" s="23">
        <f>SUMIF('sales-data'!D4:D984,A41,'sales-data'!Q4:Q984)</f>
        <v>83660</v>
      </c>
      <c r="D41" s="23">
        <f>SUMIF('sales-data'!D4:D984,A41,'sales-data'!S4:S984)</f>
        <v>25260</v>
      </c>
    </row>
    <row r="42">
      <c r="A42" s="22" t="s">
        <v>55</v>
      </c>
      <c r="B42" s="23">
        <f>COUNTIF('sales-data'!D5:D984,A42)</f>
        <v>7</v>
      </c>
      <c r="C42" s="23">
        <f>SUMIF('sales-data'!D5:D984,A42,'sales-data'!Q5:Q984)</f>
        <v>159180</v>
      </c>
      <c r="D42" s="23">
        <f>SUMIF('sales-data'!D5:D984,A42,'sales-data'!S5:S984)</f>
        <v>38480</v>
      </c>
    </row>
    <row r="45">
      <c r="A45" s="24" t="s">
        <v>13</v>
      </c>
      <c r="B45" s="24" t="s">
        <v>154</v>
      </c>
      <c r="C45" s="24" t="s">
        <v>156</v>
      </c>
      <c r="D45" s="24" t="s">
        <v>18</v>
      </c>
    </row>
    <row r="46">
      <c r="A46" s="3" t="s">
        <v>31</v>
      </c>
      <c r="B46" s="8">
        <f>COUNTIF('sales-data'!N2:N984,A46)</f>
        <v>15</v>
      </c>
      <c r="C46" s="8">
        <f>SUMIF('sales-data'!N2:N984,A46,'sales-data'!Q2:Q984)</f>
        <v>170375</v>
      </c>
      <c r="D46" s="8">
        <f>SUMIF('sales-data'!N2:N984,A46,'sales-data'!S2:S984)</f>
        <v>50875</v>
      </c>
    </row>
    <row r="47">
      <c r="A47" s="3" t="s">
        <v>40</v>
      </c>
      <c r="B47" s="8">
        <f>COUNTIF('sales-data'!N3:N984,A47)</f>
        <v>15</v>
      </c>
      <c r="C47" s="8">
        <f>SUMIF('sales-data'!N3:N984,A47,'sales-data'!Q3:Q984)</f>
        <v>283715</v>
      </c>
      <c r="D47" s="8">
        <f>SUMIF('sales-data'!N3:N984,A47,'sales-data'!S3:S984)</f>
        <v>75515</v>
      </c>
    </row>
    <row r="51">
      <c r="A51" s="25" t="s">
        <v>12</v>
      </c>
      <c r="B51" s="25" t="s">
        <v>154</v>
      </c>
      <c r="C51" s="25" t="s">
        <v>156</v>
      </c>
    </row>
    <row r="52">
      <c r="A52" s="26" t="s">
        <v>30</v>
      </c>
      <c r="B52" s="27">
        <f>COUNTIF('sales-data'!M2:M984,A52)</f>
        <v>10</v>
      </c>
      <c r="C52" s="27">
        <f>SUMIF('sales-data'!M2:M984,A52,'sales-data'!Q2:Q984)</f>
        <v>140399</v>
      </c>
    </row>
    <row r="53">
      <c r="A53" s="26" t="s">
        <v>39</v>
      </c>
      <c r="B53" s="27">
        <f>COUNTIF('sales-data'!M3:M984,A53)</f>
        <v>9</v>
      </c>
      <c r="C53" s="27">
        <f>SUMIF('sales-data'!M3:M984,A53,'sales-data'!Q3:Q984)</f>
        <v>150163</v>
      </c>
    </row>
    <row r="54">
      <c r="A54" s="26" t="s">
        <v>46</v>
      </c>
      <c r="B54" s="27">
        <f>COUNTIF('sales-data'!M4:M984,A54)</f>
        <v>6</v>
      </c>
      <c r="C54" s="27">
        <f>SUMIF('sales-data'!M4:M984,A54,'sales-data'!Q4:Q984)</f>
        <v>68748</v>
      </c>
    </row>
    <row r="55">
      <c r="A55" s="26" t="s">
        <v>63</v>
      </c>
      <c r="B55" s="27">
        <f>COUNTIF('sales-data'!M5:M984,A55)</f>
        <v>5</v>
      </c>
      <c r="C55" s="27">
        <f>SUMIF('sales-data'!M5:M984,A55,'sales-data'!Q5:Q984)</f>
        <v>94780</v>
      </c>
    </row>
    <row r="56">
      <c r="A56" s="27"/>
      <c r="B56" s="27"/>
      <c r="C56" s="27"/>
    </row>
    <row r="59">
      <c r="A59" s="28" t="s">
        <v>20</v>
      </c>
      <c r="B59" s="28" t="s">
        <v>156</v>
      </c>
      <c r="C59" s="28" t="s">
        <v>18</v>
      </c>
    </row>
    <row r="60">
      <c r="A60" s="29" t="s">
        <v>157</v>
      </c>
      <c r="B60" s="30">
        <f>SUMIF('sales-data'!U2:U984,A60,'sales-data'!Q2:Q984)</f>
        <v>58734</v>
      </c>
      <c r="C60" s="30">
        <f>SUMIF('sales-data'!U2:U984,A60,'sales-data'!S2:S984)</f>
        <v>17534</v>
      </c>
    </row>
    <row r="61">
      <c r="A61" s="29" t="s">
        <v>158</v>
      </c>
      <c r="B61" s="30">
        <f>SUMIF('sales-data'!U3:U984,A61,'sales-data'!Q3:Q984)</f>
        <v>80605</v>
      </c>
      <c r="C61" s="30">
        <f>SUMIF('sales-data'!U3:U984,A61,'sales-data'!S3:S984)</f>
        <v>23005</v>
      </c>
    </row>
    <row r="62">
      <c r="A62" s="29" t="s">
        <v>159</v>
      </c>
      <c r="B62" s="30">
        <f>SUMIF('sales-data'!U4:U984,A62,'sales-data'!Q4:Q984)</f>
        <v>120936</v>
      </c>
      <c r="C62" s="30">
        <f>SUMIF('sales-data'!U4:U984,A62,'sales-data'!S4:S984)</f>
        <v>32136</v>
      </c>
    </row>
    <row r="63">
      <c r="A63" s="29" t="s">
        <v>160</v>
      </c>
      <c r="B63" s="30">
        <f>SUMIF('sales-data'!U5:U984,A63,'sales-data'!Q5:Q984)</f>
        <v>98217</v>
      </c>
      <c r="C63" s="30">
        <f>SUMIF('sales-data'!U5:U984,A63,'sales-data'!S5:S984)</f>
        <v>28717</v>
      </c>
    </row>
    <row r="64">
      <c r="A64" s="29" t="s">
        <v>161</v>
      </c>
      <c r="B64" s="30">
        <f>SUMIF('sales-data'!U6:U984,A64,'sales-data'!Q6:Q984)</f>
        <v>95598</v>
      </c>
      <c r="C64" s="30">
        <f>SUMIF('sales-data'!U6:U984,A64,'sales-data'!S6:S984)</f>
        <v>24998</v>
      </c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9"/>
      <c r="B4" s="40" t="s">
        <v>163</v>
      </c>
      <c r="C4" s="34"/>
      <c r="D4" s="41" t="s">
        <v>164</v>
      </c>
      <c r="E4" s="34"/>
      <c r="F4" s="42" t="s">
        <v>165</v>
      </c>
      <c r="G4" s="34"/>
      <c r="H4" s="43" t="s">
        <v>166</v>
      </c>
      <c r="I4" s="34"/>
      <c r="J4" s="44" t="s">
        <v>167</v>
      </c>
      <c r="K4" s="34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36"/>
      <c r="C5" s="38"/>
      <c r="D5" s="36"/>
      <c r="E5" s="38"/>
      <c r="F5" s="36"/>
      <c r="G5" s="38"/>
      <c r="H5" s="36"/>
      <c r="I5" s="38"/>
      <c r="J5" s="36"/>
      <c r="K5" s="38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45">
        <f>SUM('sales-data'!Q2:Q1000)</f>
        <v>454090</v>
      </c>
      <c r="C6" s="46"/>
      <c r="D6" s="47">
        <f>SUM('sales-data'!S2:S1000)</f>
        <v>126390</v>
      </c>
      <c r="E6" s="46"/>
      <c r="F6" s="48">
        <f>COUNTA('sales-data'!A2:A1000)</f>
        <v>30</v>
      </c>
      <c r="G6" s="46"/>
      <c r="H6" s="49">
        <f>SUM('sales-data'!I1:I1000)</f>
        <v>107</v>
      </c>
      <c r="I6" s="46"/>
      <c r="J6" s="50">
        <f>AVERAGE('sales-data'!Q2:Q1000)</f>
        <v>15136.33333</v>
      </c>
      <c r="K6" s="46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1">
    <mergeCell ref="D6:E6"/>
    <mergeCell ref="F6:G6"/>
    <mergeCell ref="H6:I6"/>
    <mergeCell ref="J6:K6"/>
    <mergeCell ref="A1:L2"/>
    <mergeCell ref="B4:C5"/>
    <mergeCell ref="D4:E5"/>
    <mergeCell ref="F4:G5"/>
    <mergeCell ref="H4:I5"/>
    <mergeCell ref="J4:K5"/>
    <mergeCell ref="B6:C6"/>
  </mergeCells>
  <drawing r:id="rId1"/>
</worksheet>
</file>